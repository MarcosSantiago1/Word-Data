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DEUDA\Publicaciones Internet\deuda\servicios\consolidado\2025\"/>
    </mc:Choice>
  </mc:AlternateContent>
  <xr:revisionPtr revIDLastSave="0" documentId="13_ncr:1_{E85510A8-0EBC-42F8-9FFE-802AC2478974}" xr6:coauthVersionLast="47" xr6:coauthVersionMax="47" xr10:uidLastSave="{00000000-0000-0000-0000-000000000000}"/>
  <bookViews>
    <workbookView xWindow="-120" yWindow="-120" windowWidth="29040" windowHeight="15840" xr2:uid="{F1F91B19-3939-43E2-BCAB-E33E89A263C1}"/>
  </bookViews>
  <sheets>
    <sheet name="IV Trim 2025 millones" sheetId="1" r:id="rId1"/>
  </sheets>
  <definedNames>
    <definedName name="_xlnm.Print_Area" localSheetId="0">'IV Trim 2025 millones'!$B$9:$T$38</definedName>
    <definedName name="_xlnm.Print_Titles" localSheetId="0">'IV Trim 2025 millones'!$B:$B,'IV Trim 2025 millones'!$12:$13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D38" i="1" l="1"/>
  <c r="C38" i="1"/>
  <c r="D37" i="1"/>
  <c r="C37" i="1"/>
  <c r="D35" i="1"/>
  <c r="C35" i="1"/>
  <c r="D34" i="1"/>
  <c r="C34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Q14" i="1"/>
  <c r="P14" i="1"/>
  <c r="D17" i="1"/>
  <c r="C17" i="1"/>
  <c r="R14" i="1"/>
  <c r="D16" i="1"/>
  <c r="C16" i="1"/>
  <c r="T14" i="1"/>
  <c r="S14" i="1"/>
  <c r="O14" i="1"/>
  <c r="N14" i="1"/>
  <c r="M14" i="1"/>
  <c r="L14" i="1"/>
  <c r="K14" i="1"/>
  <c r="J14" i="1"/>
  <c r="I14" i="1"/>
  <c r="H14" i="1"/>
  <c r="G14" i="1"/>
  <c r="F14" i="1"/>
  <c r="E14" i="1"/>
  <c r="D15" i="1"/>
  <c r="C15" i="1"/>
  <c r="D14" i="1" l="1"/>
  <c r="C14" i="1"/>
</calcChain>
</file>

<file path=xl/sharedStrings.xml><?xml version="1.0" encoding="utf-8"?>
<sst xmlns="http://schemas.openxmlformats.org/spreadsheetml/2006/main" count="61" uniqueCount="45">
  <si>
    <t>SERVICIOS DEVENGADOS ACUMULADOS AL 31/12/2025 (1)</t>
  </si>
  <si>
    <t xml:space="preserve"> En millones de pesos</t>
  </si>
  <si>
    <t>Año</t>
  </si>
  <si>
    <t>TOTAL (5)</t>
  </si>
  <si>
    <t>Gobierno Nacional</t>
  </si>
  <si>
    <t>FFFIR (2)</t>
  </si>
  <si>
    <t>FFDP (3)</t>
  </si>
  <si>
    <t>Bancos</t>
  </si>
  <si>
    <t>Deuda Consolidada</t>
  </si>
  <si>
    <t>Bonos (4)</t>
  </si>
  <si>
    <t>Organismos Internacionales</t>
  </si>
  <si>
    <t>Deuda Indirecta</t>
  </si>
  <si>
    <t>Amortización</t>
  </si>
  <si>
    <t>Interés</t>
  </si>
  <si>
    <t xml:space="preserve">TOTAL 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</si>
  <si>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</si>
  <si>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</si>
  <si>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</si>
  <si>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</si>
  <si>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</si>
  <si>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</si>
  <si>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</si>
  <si>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</si>
  <si>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</si>
  <si>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</si>
  <si>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</si>
  <si>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</si>
  <si>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</si>
  <si>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</si>
  <si>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</si>
  <si>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</si>
  <si>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</si>
  <si>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</si>
  <si>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</si>
  <si>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</si>
  <si>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</si>
  <si>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</si>
  <si>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</si>
  <si>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</si>
  <si>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Notas:</t>
  </si>
  <si>
    <t>1).-Todos los datos son preliminares y se encuentran sujetos a revisión.</t>
  </si>
  <si>
    <t>2).- Fondo Fiduciario Federal de Infraestructura Regional.</t>
  </si>
  <si>
    <t>3).- Fondo Fiduciario de Desarrollo Provincial.</t>
  </si>
  <si>
    <t>4).- La información publicada es la que fuera remitida por la Provincia.</t>
  </si>
  <si>
    <t>5). - El Total de Deuda Pública Provincial es neto de Deuda Indirecta.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</si>
</sst>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_ * #,##0.00_ ;_ * \-#,##0.00_ ;_ * &quot;-&quot;??_ ;_ @_ "/>
    <numFmt numFmtId="166" formatCode="_ * #,##0_ ;_ * \-#,##0_ ;_ * &quot;-&quot;??_ ;_ @_ "/>
    <numFmt numFmtId="167" formatCode="#,##0;\ \-0;\ \-;\ 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Roboto"/>
    </font>
    <font>
      <sz val="11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b/>
      <sz val="11"/>
      <color indexed="60"/>
      <name val="Roboto"/>
    </font>
    <font>
      <b/>
      <sz val="11"/>
      <color theme="0"/>
      <name val="Roboto"/>
    </font>
    <font>
      <b/>
      <sz val="16"/>
      <color theme="0"/>
      <name val="Roboto"/>
    </font>
    <font>
      <b/>
      <sz val="16"/>
      <name val="Roboto"/>
    </font>
    <font>
      <b/>
      <sz val="16"/>
      <color indexed="8"/>
      <name val="Roboto"/>
    </font>
    <font>
      <sz val="16"/>
      <name val="Roboto"/>
    </font>
    <font>
      <sz val="16"/>
      <color indexed="8"/>
      <name val="Roboto"/>
    </font>
    <font>
      <b/>
      <i/>
      <sz val="11"/>
      <name val="Roboto"/>
    </font>
    <font>
      <sz val="11"/>
      <color indexed="56"/>
      <name val="Roboto"/>
    </font>
    <font>
      <b/>
      <u/>
      <sz val="11"/>
      <color indexed="8"/>
      <name val="Roboto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 tint="0.34998626667073579"/>
      </top>
      <bottom style="thin">
        <color theme="0" tint="-0.1499679555650502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0" tint="-0.1499679555650502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2" borderId="0" xfId="2" applyFont="1" applyFill="1"/>
    <xf numFmtId="0" fontId="5" fillId="0" borderId="0" xfId="2" applyFont="1"/>
    <xf numFmtId="164" fontId="6" fillId="0" borderId="0" xfId="2" applyNumberFormat="1" applyFont="1"/>
    <xf numFmtId="0" fontId="3" fillId="0" borderId="0" xfId="2" applyFont="1"/>
    <xf numFmtId="166" fontId="3" fillId="0" borderId="0" xfId="1" applyNumberFormat="1" applyFont="1" applyFill="1" applyAlignment="1"/>
    <xf numFmtId="166" fontId="3" fillId="0" borderId="0" xfId="1" applyNumberFormat="1" applyFont="1" applyFill="1" applyBorder="1" applyAlignment="1"/>
    <xf numFmtId="0" fontId="8" fillId="3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/>
    </xf>
    <xf numFmtId="167" fontId="9" fillId="4" borderId="1" xfId="2" applyNumberFormat="1" applyFont="1" applyFill="1" applyBorder="1" applyAlignment="1">
      <alignment horizontal="center"/>
    </xf>
    <xf numFmtId="166" fontId="3" fillId="2" borderId="0" xfId="2" applyNumberFormat="1" applyFont="1" applyFill="1"/>
    <xf numFmtId="0" fontId="10" fillId="2" borderId="1" xfId="2" applyFont="1" applyFill="1" applyBorder="1" applyAlignment="1">
      <alignment horizontal="left"/>
    </xf>
    <xf numFmtId="167" fontId="11" fillId="0" borderId="1" xfId="2" applyNumberFormat="1" applyFont="1" applyBorder="1" applyAlignment="1">
      <alignment horizontal="center" vertical="center" wrapText="1"/>
    </xf>
    <xf numFmtId="167" fontId="12" fillId="2" borderId="1" xfId="2" applyNumberFormat="1" applyFont="1" applyFill="1" applyBorder="1" applyAlignment="1">
      <alignment horizontal="center"/>
    </xf>
    <xf numFmtId="166" fontId="3" fillId="0" borderId="0" xfId="2" applyNumberFormat="1" applyFont="1"/>
    <xf numFmtId="0" fontId="13" fillId="2" borderId="0" xfId="2" applyFont="1" applyFill="1"/>
    <xf numFmtId="166" fontId="4" fillId="2" borderId="0" xfId="2" applyNumberFormat="1" applyFont="1" applyFill="1" applyAlignment="1">
      <alignment horizontal="center"/>
    </xf>
    <xf numFmtId="166" fontId="14" fillId="2" borderId="0" xfId="2" applyNumberFormat="1" applyFont="1" applyFill="1"/>
    <xf numFmtId="166" fontId="3" fillId="2" borderId="0" xfId="2" applyNumberFormat="1" applyFont="1" applyFill="1" applyAlignment="1">
      <alignment horizontal="center"/>
    </xf>
    <xf numFmtId="0" fontId="15" fillId="2" borderId="0" xfId="2" applyFont="1" applyFill="1"/>
    <xf numFmtId="3" fontId="4" fillId="2" borderId="0" xfId="2" applyNumberFormat="1" applyFont="1" applyFill="1" applyAlignment="1">
      <alignment horizontal="center"/>
    </xf>
    <xf numFmtId="0" fontId="4" fillId="2" borderId="0" xfId="2" applyFont="1" applyFill="1" applyAlignment="1">
      <alignment horizontal="center"/>
    </xf>
    <xf numFmtId="3" fontId="14" fillId="2" borderId="0" xfId="2" applyNumberFormat="1" applyFont="1" applyFill="1"/>
    <xf numFmtId="3" fontId="3" fillId="2" borderId="0" xfId="2" applyNumberFormat="1" applyFont="1" applyFill="1" applyAlignment="1">
      <alignment horizontal="center"/>
    </xf>
    <xf numFmtId="0" fontId="16" fillId="2" borderId="0" xfId="2" applyFont="1" applyFill="1" applyAlignment="1">
      <alignment horizontal="center"/>
    </xf>
    <xf numFmtId="3" fontId="3" fillId="2" borderId="0" xfId="2" applyNumberFormat="1" applyFont="1" applyFill="1"/>
    <xf numFmtId="0" fontId="3" fillId="2" borderId="0" xfId="2" applyFont="1" applyFill="1" applyAlignment="1">
      <alignment vertical="center" wrapText="1"/>
    </xf>
    <xf numFmtId="0" fontId="3" fillId="2" borderId="0" xfId="2" applyFont="1" applyFill="1" applyAlignment="1">
      <alignment horizontal="left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center" vertical="center"/>
    </xf>
    <xf numFmtId="0" fontId="4" fillId="2" borderId="0" xfId="2" quotePrefix="1" applyFont="1" applyFill="1" applyAlignment="1">
      <alignment horizontal="center"/>
    </xf>
    <xf numFmtId="0" fontId="7" fillId="3" borderId="1" xfId="2" applyFont="1" applyFill="1" applyBorder="1" applyAlignment="1">
      <alignment horizontal="center" vertical="center" wrapText="1"/>
    </xf>
    <xf numFmtId="0" fontId="8" fillId="3" borderId="1" xfId="2" quotePrefix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38DE94DA-5EE2-459E-ABEB-4D7F7AD4A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</xdr:col>
      <xdr:colOff>1656715</xdr:colOff>
      <xdr:row>8</xdr:row>
      <xdr:rowOff>38100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DFB3912-B515-4835-B0D4-3061E5C466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47625" y="209550"/>
          <a:ext cx="165671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F37-0422-4B9F-A791-EDDD8BC54DD4}">
  <dimension ref="B9:Y46"/>
  <sheetViews>
    <sheetView showGridLines="0" tabSelected="1" topLeftCell="B10" workbookViewId="0">
      <selection activeCell="C22" sqref="C22:D22"/>
    </sheetView>
  </sheetViews>
  <sheetFormatPr baseColWidth="10" defaultRowHeight="15" x14ac:dyDescent="0.25"/>
  <cols>
    <col min="1" max="1" width="0.7109375" style="1" customWidth="1"/>
    <col min="2" max="2" width="35" style="1" customWidth="1"/>
    <col min="3" max="3" width="19.140625" style="1" customWidth="1"/>
    <col min="4" max="20" width="15.140625" style="1" customWidth="1"/>
    <col min="21" max="16384" width="11.42578125" style="1"/>
  </cols>
  <sheetData>
    <row r="9" spans="2:25" ht="18.75" x14ac:dyDescent="0.25">
      <c r="B9" s="31" t="s">
        <v>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2:25" x14ac:dyDescent="0.25">
      <c r="B10" s="32" t="s">
        <v>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2:25" x14ac:dyDescent="0.25">
      <c r="B11" s="2"/>
      <c r="C11" s="3"/>
      <c r="D11" s="3"/>
      <c r="E11" s="4"/>
      <c r="F11" s="4"/>
      <c r="G11" s="4"/>
      <c r="H11" s="4"/>
      <c r="I11" s="4"/>
      <c r="J11" s="4"/>
      <c r="K11" s="4"/>
      <c r="L11" s="5"/>
      <c r="M11" s="6"/>
      <c r="N11" s="6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</row>
    <row r="12" spans="2:25" ht="33.75" customHeight="1" x14ac:dyDescent="0.25">
      <c r="B12" s="33" t="s">
        <v>2</v>
      </c>
      <c r="C12" s="34" t="s">
        <v>3</v>
      </c>
      <c r="D12" s="28"/>
      <c r="E12" s="28" t="s">
        <v>4</v>
      </c>
      <c r="F12" s="28"/>
      <c r="G12" s="28" t="s">
        <v>5</v>
      </c>
      <c r="H12" s="28"/>
      <c r="I12" s="28" t="s">
        <v>6</v>
      </c>
      <c r="J12" s="28"/>
      <c r="K12" s="28" t="s">
        <v>7</v>
      </c>
      <c r="L12" s="28"/>
      <c r="M12" s="28" t="s">
        <v>8</v>
      </c>
      <c r="N12" s="28"/>
      <c r="O12" s="28" t="s">
        <v>9</v>
      </c>
      <c r="P12" s="28"/>
      <c r="Q12" s="28" t="s">
        <v>10</v>
      </c>
      <c r="R12" s="28"/>
      <c r="S12" s="29" t="s">
        <v>11</v>
      </c>
      <c r="T12" s="30"/>
    </row>
    <row r="13" spans="2:25" ht="20.25" customHeight="1" x14ac:dyDescent="0.25">
      <c r="B13" s="33"/>
      <c r="C13" s="7" t="s">
        <v>12</v>
      </c>
      <c r="D13" s="7" t="s">
        <v>13</v>
      </c>
      <c r="E13" s="7" t="s">
        <v>12</v>
      </c>
      <c r="F13" s="7" t="s">
        <v>13</v>
      </c>
      <c r="G13" s="7" t="s">
        <v>12</v>
      </c>
      <c r="H13" s="7" t="s">
        <v>13</v>
      </c>
      <c r="I13" s="7" t="s">
        <v>12</v>
      </c>
      <c r="J13" s="7" t="s">
        <v>13</v>
      </c>
      <c r="K13" s="7" t="s">
        <v>12</v>
      </c>
      <c r="L13" s="7" t="s">
        <v>13</v>
      </c>
      <c r="M13" s="7" t="s">
        <v>12</v>
      </c>
      <c r="N13" s="7" t="s">
        <v>13</v>
      </c>
      <c r="O13" s="7" t="s">
        <v>12</v>
      </c>
      <c r="P13" s="7" t="s">
        <v>13</v>
      </c>
      <c r="Q13" s="7" t="s">
        <v>12</v>
      </c>
      <c r="R13" s="7" t="s">
        <v>13</v>
      </c>
      <c r="S13" s="7" t="s">
        <v>12</v>
      </c>
      <c r="T13" s="7" t="s">
        <v>13</v>
      </c>
    </row>
    <row r="14" spans="2:25" ht="20.100000000000001" customHeight="1" x14ac:dyDescent="0.3">
      <c r="B14" s="8" t="s">
        <v>14</v>
      </c>
      <c r="C14" s="9">
        <f t="shared" ref="C14:T14" si="0">+SUM(C15:C38)</f>
        <v>3806952.80240623</v>
      </c>
      <c r="D14" s="9">
        <f>+SUM(D15:D38)</f>
        <v>2486620.7543681064</v>
      </c>
      <c r="E14" s="9">
        <f t="shared" si="0"/>
        <v>56464.449519410256</v>
      </c>
      <c r="F14" s="9">
        <f t="shared" si="0"/>
        <v>79139.495394355719</v>
      </c>
      <c r="G14" s="9">
        <f t="shared" si="0"/>
        <v>40346.93943159427</v>
      </c>
      <c r="H14" s="9">
        <f t="shared" si="0"/>
        <v>15666.957910932819</v>
      </c>
      <c r="I14" s="9">
        <f t="shared" si="0"/>
        <v>0</v>
      </c>
      <c r="J14" s="9">
        <f t="shared" si="0"/>
        <v>0</v>
      </c>
      <c r="K14" s="9">
        <f t="shared" si="0"/>
        <v>261161.41893189918</v>
      </c>
      <c r="L14" s="9">
        <f t="shared" si="0"/>
        <v>268981.86363201658</v>
      </c>
      <c r="M14" s="9">
        <f t="shared" si="0"/>
        <v>21306.756527893118</v>
      </c>
      <c r="N14" s="9">
        <f>+SUM(N15:N38)</f>
        <v>8798.8037339528619</v>
      </c>
      <c r="O14" s="9">
        <f t="shared" si="0"/>
        <v>3085812.3362778374</v>
      </c>
      <c r="P14" s="9">
        <f t="shared" si="0"/>
        <v>1812432.7715824577</v>
      </c>
      <c r="Q14" s="9">
        <f t="shared" si="0"/>
        <v>341860.90171759459</v>
      </c>
      <c r="R14" s="9">
        <f t="shared" si="0"/>
        <v>301600.86211439024</v>
      </c>
      <c r="S14" s="9">
        <f t="shared" si="0"/>
        <v>2128.7903787916812</v>
      </c>
      <c r="T14" s="9">
        <f t="shared" si="0"/>
        <v>203.05001000000001</v>
      </c>
      <c r="U14" s="10"/>
      <c r="V14" s="10"/>
    </row>
    <row r="15" spans="2:25" s="4" customFormat="1" ht="20.100000000000001" customHeight="1" x14ac:dyDescent="0.3">
      <c r="B15" s="11" t="s">
        <v>15</v>
      </c>
      <c r="C15" s="12">
        <f>+E15+G15+I15+K15+M15+O15+Q15</f>
        <v>380600.92237003747</v>
      </c>
      <c r="D15" s="13">
        <f>+F15+H15+J15+L15+N15+P15+R15</f>
        <v>107629.09536765602</v>
      </c>
      <c r="E15" s="12">
        <v>0</v>
      </c>
      <c r="F15" s="13">
        <v>0</v>
      </c>
      <c r="G15" s="12">
        <v>0</v>
      </c>
      <c r="H15" s="13">
        <v>0</v>
      </c>
      <c r="I15" s="12">
        <v>0</v>
      </c>
      <c r="J15" s="13">
        <v>0</v>
      </c>
      <c r="K15" s="12">
        <v>0</v>
      </c>
      <c r="L15" s="13">
        <v>0</v>
      </c>
      <c r="M15" s="12">
        <v>0</v>
      </c>
      <c r="N15" s="13">
        <v>0</v>
      </c>
      <c r="O15" s="12">
        <v>343041.80237003748</v>
      </c>
      <c r="P15" s="13">
        <v>99359.355367656011</v>
      </c>
      <c r="Q15" s="12">
        <v>37559.120000000003</v>
      </c>
      <c r="R15" s="13">
        <v>8269.74</v>
      </c>
      <c r="S15" s="12">
        <v>0</v>
      </c>
      <c r="T15" s="13">
        <v>0</v>
      </c>
      <c r="U15" s="14"/>
      <c r="V15" s="14"/>
    </row>
    <row r="16" spans="2:25" s="4" customFormat="1" ht="20.100000000000001" customHeight="1" x14ac:dyDescent="0.3">
      <c r="B16" s="11" t="s">
        <v>16</v>
      </c>
      <c r="C16" s="12">
        <f t="shared" ref="C16:D31" si="1">+E16+G16+I16+K16+M16+O16+Q16</f>
        <v>1214972.6742167843</v>
      </c>
      <c r="D16" s="13">
        <f t="shared" si="1"/>
        <v>1193630.4110117864</v>
      </c>
      <c r="E16" s="12">
        <v>0</v>
      </c>
      <c r="F16" s="13">
        <v>0</v>
      </c>
      <c r="G16" s="12">
        <v>2045.1679499586728</v>
      </c>
      <c r="H16" s="13">
        <v>363.8486933380031</v>
      </c>
      <c r="I16" s="12">
        <v>0</v>
      </c>
      <c r="J16" s="13">
        <v>0</v>
      </c>
      <c r="K16" s="12">
        <v>0</v>
      </c>
      <c r="L16" s="13">
        <v>43459.531585226046</v>
      </c>
      <c r="M16" s="12">
        <v>0</v>
      </c>
      <c r="N16" s="13">
        <v>0</v>
      </c>
      <c r="O16" s="12">
        <v>1110230.0760533046</v>
      </c>
      <c r="P16" s="13">
        <v>1006251.3875057861</v>
      </c>
      <c r="Q16" s="12">
        <v>102697.43021352094</v>
      </c>
      <c r="R16" s="13">
        <v>143555.64322743643</v>
      </c>
      <c r="S16" s="12">
        <v>0</v>
      </c>
      <c r="T16" s="13">
        <v>0</v>
      </c>
      <c r="U16" s="14"/>
      <c r="V16" s="14"/>
    </row>
    <row r="17" spans="2:22" s="4" customFormat="1" ht="20.100000000000001" customHeight="1" x14ac:dyDescent="0.3">
      <c r="B17" s="11" t="s">
        <v>17</v>
      </c>
      <c r="C17" s="12">
        <f t="shared" si="1"/>
        <v>3399.5448011100752</v>
      </c>
      <c r="D17" s="13">
        <f t="shared" si="1"/>
        <v>1968.0057271187591</v>
      </c>
      <c r="E17" s="12">
        <v>83.10258514675985</v>
      </c>
      <c r="F17" s="13">
        <v>27.487020292710952</v>
      </c>
      <c r="G17" s="12">
        <v>285.04634055023206</v>
      </c>
      <c r="H17" s="13">
        <v>56.149851561097854</v>
      </c>
      <c r="I17" s="12">
        <v>0</v>
      </c>
      <c r="J17" s="13">
        <v>0</v>
      </c>
      <c r="K17" s="12">
        <v>0</v>
      </c>
      <c r="L17" s="13">
        <v>0</v>
      </c>
      <c r="M17" s="12">
        <v>43.387250255999966</v>
      </c>
      <c r="N17" s="13">
        <v>2.8017227443756343</v>
      </c>
      <c r="O17" s="12">
        <v>169.33051737708334</v>
      </c>
      <c r="P17" s="13">
        <v>708.37785969057472</v>
      </c>
      <c r="Q17" s="12">
        <v>2818.6781077800001</v>
      </c>
      <c r="R17" s="13">
        <v>1173.1892728299999</v>
      </c>
      <c r="S17" s="12">
        <v>0</v>
      </c>
      <c r="T17" s="13">
        <v>0</v>
      </c>
      <c r="U17" s="14"/>
      <c r="V17" s="14"/>
    </row>
    <row r="18" spans="2:22" s="4" customFormat="1" ht="20.100000000000001" customHeight="1" x14ac:dyDescent="0.3">
      <c r="B18" s="11" t="s">
        <v>18</v>
      </c>
      <c r="C18" s="12">
        <f t="shared" si="1"/>
        <v>513291.6219564692</v>
      </c>
      <c r="D18" s="13">
        <f t="shared" si="1"/>
        <v>203591.14371217071</v>
      </c>
      <c r="E18" s="12">
        <v>161.40443831917693</v>
      </c>
      <c r="F18" s="13">
        <v>50.822143170631882</v>
      </c>
      <c r="G18" s="12">
        <v>1862.3970876871676</v>
      </c>
      <c r="H18" s="13">
        <v>248.57369735440622</v>
      </c>
      <c r="I18" s="12">
        <v>0</v>
      </c>
      <c r="J18" s="13">
        <v>0</v>
      </c>
      <c r="K18" s="12">
        <v>35825.864405588509</v>
      </c>
      <c r="L18" s="13">
        <v>2991.2247452458319</v>
      </c>
      <c r="M18" s="12">
        <v>0</v>
      </c>
      <c r="N18" s="13">
        <v>0</v>
      </c>
      <c r="O18" s="12">
        <v>419802.9069375</v>
      </c>
      <c r="P18" s="13">
        <v>163417.32174828995</v>
      </c>
      <c r="Q18" s="12">
        <v>55639.049087374355</v>
      </c>
      <c r="R18" s="13">
        <v>36883.201378109901</v>
      </c>
      <c r="S18" s="12">
        <v>0</v>
      </c>
      <c r="T18" s="13">
        <v>0</v>
      </c>
      <c r="U18" s="14"/>
      <c r="V18" s="14"/>
    </row>
    <row r="19" spans="2:22" s="4" customFormat="1" ht="20.100000000000001" customHeight="1" x14ac:dyDescent="0.3">
      <c r="B19" s="11" t="s">
        <v>19</v>
      </c>
      <c r="C19" s="12">
        <f t="shared" si="1"/>
        <v>12465.0944856977</v>
      </c>
      <c r="D19" s="13">
        <f t="shared" si="1"/>
        <v>5260.1947938340027</v>
      </c>
      <c r="E19" s="12">
        <v>5456.8787409193656</v>
      </c>
      <c r="F19" s="13">
        <v>535.1472511579766</v>
      </c>
      <c r="G19" s="12">
        <v>2791.1391487600008</v>
      </c>
      <c r="H19" s="13">
        <v>293.96610964999996</v>
      </c>
      <c r="I19" s="12">
        <v>0</v>
      </c>
      <c r="J19" s="13">
        <v>0</v>
      </c>
      <c r="K19" s="12">
        <v>0</v>
      </c>
      <c r="L19" s="13">
        <v>0</v>
      </c>
      <c r="M19" s="12">
        <v>0</v>
      </c>
      <c r="N19" s="13">
        <v>0</v>
      </c>
      <c r="O19" s="12">
        <v>228.53814100833333</v>
      </c>
      <c r="P19" s="13">
        <v>961.70026420602653</v>
      </c>
      <c r="Q19" s="12">
        <v>3988.5384550100002</v>
      </c>
      <c r="R19" s="13">
        <v>3469.3811688199999</v>
      </c>
      <c r="S19" s="12">
        <v>0</v>
      </c>
      <c r="T19" s="13">
        <v>0</v>
      </c>
      <c r="U19" s="14"/>
      <c r="V19" s="14"/>
    </row>
    <row r="20" spans="2:22" s="4" customFormat="1" ht="20.100000000000001" customHeight="1" x14ac:dyDescent="0.3">
      <c r="B20" s="11" t="s">
        <v>20</v>
      </c>
      <c r="C20" s="12">
        <f t="shared" si="1"/>
        <v>176563.22328494416</v>
      </c>
      <c r="D20" s="13">
        <f t="shared" si="1"/>
        <v>188832.16356560716</v>
      </c>
      <c r="E20" s="12">
        <v>0</v>
      </c>
      <c r="F20" s="13">
        <v>27989.814571640003</v>
      </c>
      <c r="G20" s="12">
        <v>2418.2484768599993</v>
      </c>
      <c r="H20" s="13">
        <v>1283.6679648099998</v>
      </c>
      <c r="I20" s="12">
        <v>0</v>
      </c>
      <c r="J20" s="13">
        <v>0</v>
      </c>
      <c r="K20" s="12">
        <v>12036.849625430001</v>
      </c>
      <c r="L20" s="13">
        <v>21604.916577595432</v>
      </c>
      <c r="M20" s="12">
        <v>0</v>
      </c>
      <c r="N20" s="13">
        <v>0</v>
      </c>
      <c r="O20" s="12">
        <v>151622.27220905415</v>
      </c>
      <c r="P20" s="13">
        <v>130491.72109821817</v>
      </c>
      <c r="Q20" s="12">
        <v>10485.8529736</v>
      </c>
      <c r="R20" s="13">
        <v>7462.0433533435598</v>
      </c>
      <c r="S20" s="12">
        <v>0</v>
      </c>
      <c r="T20" s="13">
        <v>0</v>
      </c>
      <c r="U20" s="14"/>
      <c r="V20" s="14"/>
    </row>
    <row r="21" spans="2:22" s="4" customFormat="1" ht="20.100000000000001" customHeight="1" x14ac:dyDescent="0.3">
      <c r="B21" s="11" t="s">
        <v>21</v>
      </c>
      <c r="C21" s="12">
        <f t="shared" si="1"/>
        <v>134625.11564339668</v>
      </c>
      <c r="D21" s="13">
        <f t="shared" si="1"/>
        <v>95741.462894217359</v>
      </c>
      <c r="E21" s="12">
        <v>0</v>
      </c>
      <c r="F21" s="13">
        <v>33719.261431455263</v>
      </c>
      <c r="G21" s="12">
        <v>0</v>
      </c>
      <c r="H21" s="13">
        <v>28.159160359999721</v>
      </c>
      <c r="I21" s="12">
        <v>0</v>
      </c>
      <c r="J21" s="13">
        <v>0</v>
      </c>
      <c r="K21" s="12">
        <v>0</v>
      </c>
      <c r="L21" s="13">
        <v>0</v>
      </c>
      <c r="M21" s="12">
        <v>0</v>
      </c>
      <c r="N21" s="13">
        <v>10.662444090000001</v>
      </c>
      <c r="O21" s="12">
        <v>131422.15146476668</v>
      </c>
      <c r="P21" s="13">
        <v>60610.656614006337</v>
      </c>
      <c r="Q21" s="12">
        <v>3202.9641786299999</v>
      </c>
      <c r="R21" s="13">
        <v>1372.723244305753</v>
      </c>
      <c r="S21" s="12">
        <v>0</v>
      </c>
      <c r="T21" s="13">
        <v>0</v>
      </c>
      <c r="U21" s="14"/>
      <c r="V21" s="14"/>
    </row>
    <row r="22" spans="2:22" s="4" customFormat="1" ht="20.100000000000001" customHeight="1" x14ac:dyDescent="0.3">
      <c r="B22" s="11" t="s">
        <v>22</v>
      </c>
      <c r="C22" s="12">
        <f t="shared" si="1"/>
        <v>218082.76708124726</v>
      </c>
      <c r="D22" s="13">
        <f t="shared" si="1"/>
        <v>134920.97263449212</v>
      </c>
      <c r="E22" s="12">
        <v>0</v>
      </c>
      <c r="F22" s="13">
        <v>0</v>
      </c>
      <c r="G22" s="12">
        <v>3922.9551785493363</v>
      </c>
      <c r="H22" s="13">
        <v>1175.4499530846442</v>
      </c>
      <c r="I22" s="12">
        <v>0</v>
      </c>
      <c r="J22" s="13">
        <v>0</v>
      </c>
      <c r="K22" s="12">
        <v>83333.333333333328</v>
      </c>
      <c r="L22" s="13">
        <v>75576.18725193874</v>
      </c>
      <c r="M22" s="12">
        <v>10.323084</v>
      </c>
      <c r="N22" s="13">
        <v>5.5401892000000004</v>
      </c>
      <c r="O22" s="12">
        <v>110209.15223444457</v>
      </c>
      <c r="P22" s="13">
        <v>43742.426016818747</v>
      </c>
      <c r="Q22" s="12">
        <v>20607.003250919999</v>
      </c>
      <c r="R22" s="13">
        <v>14421.369223450001</v>
      </c>
      <c r="S22" s="12">
        <v>0</v>
      </c>
      <c r="T22" s="13">
        <v>0</v>
      </c>
      <c r="U22" s="14"/>
      <c r="V22" s="14"/>
    </row>
    <row r="23" spans="2:22" s="4" customFormat="1" ht="20.100000000000001" customHeight="1" x14ac:dyDescent="0.3">
      <c r="B23" s="11" t="s">
        <v>23</v>
      </c>
      <c r="C23" s="12">
        <f t="shared" si="1"/>
        <v>2556.2447539200002</v>
      </c>
      <c r="D23" s="13">
        <f t="shared" si="1"/>
        <v>1741.9578735099999</v>
      </c>
      <c r="E23" s="12">
        <v>0</v>
      </c>
      <c r="F23" s="13">
        <v>0</v>
      </c>
      <c r="G23" s="12">
        <v>1814.4057040299999</v>
      </c>
      <c r="H23" s="13">
        <v>1014.60284974</v>
      </c>
      <c r="I23" s="12">
        <v>0</v>
      </c>
      <c r="J23" s="13">
        <v>0</v>
      </c>
      <c r="K23" s="12">
        <v>0</v>
      </c>
      <c r="L23" s="13">
        <v>0</v>
      </c>
      <c r="M23" s="12">
        <v>0</v>
      </c>
      <c r="N23" s="13">
        <v>0</v>
      </c>
      <c r="O23" s="12">
        <v>2.6410850400000001</v>
      </c>
      <c r="P23" s="13">
        <v>2.6128734599999999</v>
      </c>
      <c r="Q23" s="12">
        <v>739.19796485000006</v>
      </c>
      <c r="R23" s="13">
        <v>724.74215030999994</v>
      </c>
      <c r="S23" s="12">
        <v>0</v>
      </c>
      <c r="T23" s="13">
        <v>0</v>
      </c>
      <c r="U23" s="14"/>
      <c r="V23" s="14"/>
    </row>
    <row r="24" spans="2:22" s="4" customFormat="1" ht="20.100000000000001" customHeight="1" x14ac:dyDescent="0.3">
      <c r="B24" s="11" t="s">
        <v>24</v>
      </c>
      <c r="C24" s="12">
        <f t="shared" si="1"/>
        <v>134909.57897528473</v>
      </c>
      <c r="D24" s="13">
        <f t="shared" si="1"/>
        <v>48105.962365699583</v>
      </c>
      <c r="E24" s="12">
        <v>39866.000630918898</v>
      </c>
      <c r="F24" s="13">
        <v>14857.955565699574</v>
      </c>
      <c r="G24" s="12">
        <v>0</v>
      </c>
      <c r="H24" s="13">
        <v>0</v>
      </c>
      <c r="I24" s="12">
        <v>0</v>
      </c>
      <c r="J24" s="13">
        <v>0</v>
      </c>
      <c r="K24" s="12">
        <v>8920.1607299999996</v>
      </c>
      <c r="L24" s="13">
        <v>2731.8028899999995</v>
      </c>
      <c r="M24" s="12">
        <v>12926.419578120001</v>
      </c>
      <c r="N24" s="13">
        <v>0</v>
      </c>
      <c r="O24" s="12">
        <v>61259.189346245825</v>
      </c>
      <c r="P24" s="13">
        <v>14925.00999</v>
      </c>
      <c r="Q24" s="12">
        <v>11937.80869</v>
      </c>
      <c r="R24" s="13">
        <v>15591.193920000002</v>
      </c>
      <c r="S24" s="12">
        <v>2088.28548</v>
      </c>
      <c r="T24" s="13">
        <v>203.05001000000001</v>
      </c>
      <c r="U24" s="14"/>
      <c r="V24" s="14"/>
    </row>
    <row r="25" spans="2:22" s="4" customFormat="1" ht="20.100000000000001" customHeight="1" x14ac:dyDescent="0.3">
      <c r="B25" s="11" t="s">
        <v>25</v>
      </c>
      <c r="C25" s="12"/>
      <c r="D25" s="13"/>
      <c r="E25" s="12"/>
      <c r="F25" s="13"/>
      <c r="G25" s="12"/>
      <c r="H25" s="13"/>
      <c r="I25" s="12"/>
      <c r="J25" s="13"/>
      <c r="K25" s="12"/>
      <c r="L25" s="13"/>
      <c r="M25" s="12"/>
      <c r="N25" s="13"/>
      <c r="O25" s="12"/>
      <c r="P25" s="13"/>
      <c r="Q25" s="12"/>
      <c r="R25" s="13"/>
      <c r="S25" s="12"/>
      <c r="T25" s="13"/>
      <c r="U25" s="14"/>
      <c r="V25" s="14"/>
    </row>
    <row r="26" spans="2:22" s="4" customFormat="1" ht="20.100000000000001" customHeight="1" x14ac:dyDescent="0.3">
      <c r="B26" s="11" t="s">
        <v>26</v>
      </c>
      <c r="C26" s="12">
        <f t="shared" si="1"/>
        <v>16754.484321452284</v>
      </c>
      <c r="D26" s="13">
        <f t="shared" si="1"/>
        <v>8406.8494838391125</v>
      </c>
      <c r="E26" s="12">
        <v>61.39</v>
      </c>
      <c r="F26" s="13">
        <v>174.97</v>
      </c>
      <c r="G26" s="12">
        <v>2570.5700317460319</v>
      </c>
      <c r="H26" s="13">
        <v>1220.42</v>
      </c>
      <c r="I26" s="12">
        <v>0</v>
      </c>
      <c r="J26" s="13">
        <v>0</v>
      </c>
      <c r="K26" s="12">
        <v>4.55</v>
      </c>
      <c r="L26" s="13">
        <v>6.7400000000000011</v>
      </c>
      <c r="M26" s="12">
        <v>11.05</v>
      </c>
      <c r="N26" s="13">
        <v>5.35</v>
      </c>
      <c r="O26" s="12">
        <v>11683.031189706253</v>
      </c>
      <c r="P26" s="13">
        <v>5070.6068943768068</v>
      </c>
      <c r="Q26" s="12">
        <v>2423.8931000000002</v>
      </c>
      <c r="R26" s="13">
        <v>1928.762589462305</v>
      </c>
      <c r="S26" s="12">
        <v>40.504898791681178</v>
      </c>
      <c r="T26" s="13">
        <v>0</v>
      </c>
      <c r="U26" s="14"/>
      <c r="V26" s="14"/>
    </row>
    <row r="27" spans="2:22" s="4" customFormat="1" ht="20.100000000000001" customHeight="1" x14ac:dyDescent="0.3">
      <c r="B27" s="11" t="s">
        <v>27</v>
      </c>
      <c r="C27" s="12">
        <f t="shared" si="1"/>
        <v>201214.56158184912</v>
      </c>
      <c r="D27" s="13">
        <f t="shared" si="1"/>
        <v>126542.82007798355</v>
      </c>
      <c r="E27" s="12">
        <v>0</v>
      </c>
      <c r="F27" s="13">
        <v>0</v>
      </c>
      <c r="G27" s="12">
        <v>369.69</v>
      </c>
      <c r="H27" s="13">
        <v>183.148</v>
      </c>
      <c r="I27" s="12">
        <v>0</v>
      </c>
      <c r="J27" s="13">
        <v>0</v>
      </c>
      <c r="K27" s="12">
        <v>5440.1066219414279</v>
      </c>
      <c r="L27" s="13">
        <v>17684.290298155374</v>
      </c>
      <c r="M27" s="12">
        <v>0</v>
      </c>
      <c r="N27" s="13">
        <v>0</v>
      </c>
      <c r="O27" s="12">
        <v>172208.86194153421</v>
      </c>
      <c r="P27" s="13">
        <v>95433.074700593948</v>
      </c>
      <c r="Q27" s="12">
        <v>23195.903018373465</v>
      </c>
      <c r="R27" s="13">
        <v>13242.307079234226</v>
      </c>
      <c r="S27" s="12">
        <v>0</v>
      </c>
      <c r="T27" s="13">
        <v>0</v>
      </c>
      <c r="U27" s="14"/>
      <c r="V27" s="14"/>
    </row>
    <row r="28" spans="2:22" s="4" customFormat="1" ht="20.100000000000001" customHeight="1" x14ac:dyDescent="0.3">
      <c r="B28" s="11" t="s">
        <v>28</v>
      </c>
      <c r="C28" s="12">
        <f t="shared" si="1"/>
        <v>23110.355120175413</v>
      </c>
      <c r="D28" s="13">
        <f t="shared" si="1"/>
        <v>3849.0124511645986</v>
      </c>
      <c r="E28" s="12">
        <v>9377.3700000000008</v>
      </c>
      <c r="F28" s="13">
        <v>0</v>
      </c>
      <c r="G28" s="12">
        <v>6515.3438570324706</v>
      </c>
      <c r="H28" s="13">
        <v>361.47037618354955</v>
      </c>
      <c r="I28" s="12">
        <v>0</v>
      </c>
      <c r="J28" s="13">
        <v>0</v>
      </c>
      <c r="K28" s="12">
        <v>123.44</v>
      </c>
      <c r="L28" s="13">
        <v>27.119999999999997</v>
      </c>
      <c r="M28" s="12">
        <v>4.74</v>
      </c>
      <c r="N28" s="13">
        <v>0.91</v>
      </c>
      <c r="O28" s="12">
        <v>4795.6673475429416</v>
      </c>
      <c r="P28" s="13">
        <v>2507.2918413440489</v>
      </c>
      <c r="Q28" s="12">
        <v>2293.7939155999998</v>
      </c>
      <c r="R28" s="13">
        <v>952.22023363699998</v>
      </c>
      <c r="S28" s="12">
        <v>0</v>
      </c>
      <c r="T28" s="13">
        <v>0</v>
      </c>
      <c r="U28" s="14"/>
      <c r="V28" s="14"/>
    </row>
    <row r="29" spans="2:22" s="4" customFormat="1" ht="20.100000000000001" customHeight="1" x14ac:dyDescent="0.3">
      <c r="B29" s="11" t="s">
        <v>29</v>
      </c>
      <c r="C29" s="12">
        <f t="shared" si="1"/>
        <v>276236.73862997146</v>
      </c>
      <c r="D29" s="13">
        <f t="shared" si="1"/>
        <v>89902.716527692872</v>
      </c>
      <c r="E29" s="12">
        <v>127.05104493587423</v>
      </c>
      <c r="F29" s="13">
        <v>42.023417733577539</v>
      </c>
      <c r="G29" s="12">
        <v>6146.4257254975455</v>
      </c>
      <c r="H29" s="13">
        <v>5369.3932405282603</v>
      </c>
      <c r="I29" s="12">
        <v>0</v>
      </c>
      <c r="J29" s="13">
        <v>0</v>
      </c>
      <c r="K29" s="12">
        <v>41958.46088277259</v>
      </c>
      <c r="L29" s="13">
        <v>13003.431071792618</v>
      </c>
      <c r="M29" s="12">
        <v>0</v>
      </c>
      <c r="N29" s="13">
        <v>0</v>
      </c>
      <c r="O29" s="12">
        <v>214944.71619090965</v>
      </c>
      <c r="P29" s="13">
        <v>56156.088878777278</v>
      </c>
      <c r="Q29" s="12">
        <v>13060.084785855755</v>
      </c>
      <c r="R29" s="13">
        <v>15331.779918861133</v>
      </c>
      <c r="S29" s="12">
        <v>0</v>
      </c>
      <c r="T29" s="13">
        <v>0</v>
      </c>
      <c r="U29" s="14"/>
      <c r="V29" s="14"/>
    </row>
    <row r="30" spans="2:22" s="4" customFormat="1" ht="20.100000000000001" customHeight="1" x14ac:dyDescent="0.3">
      <c r="B30" s="11" t="s">
        <v>30</v>
      </c>
      <c r="C30" s="12">
        <f t="shared" si="1"/>
        <v>110884.9718943146</v>
      </c>
      <c r="D30" s="13">
        <f t="shared" si="1"/>
        <v>35270.75581024275</v>
      </c>
      <c r="E30" s="12">
        <v>0</v>
      </c>
      <c r="F30" s="13">
        <v>370.90284774855104</v>
      </c>
      <c r="G30" s="12">
        <v>165.94000000000003</v>
      </c>
      <c r="H30" s="13">
        <v>162.22999999999999</v>
      </c>
      <c r="I30" s="12">
        <v>0</v>
      </c>
      <c r="J30" s="13">
        <v>0</v>
      </c>
      <c r="K30" s="12">
        <v>5191.5200000000004</v>
      </c>
      <c r="L30" s="13">
        <v>5607.5399859999998</v>
      </c>
      <c r="M30" s="12">
        <v>0</v>
      </c>
      <c r="N30" s="13">
        <v>0</v>
      </c>
      <c r="O30" s="12">
        <v>99976.433355314599</v>
      </c>
      <c r="P30" s="13">
        <v>25519.672079494201</v>
      </c>
      <c r="Q30" s="12">
        <v>5551.0785389999992</v>
      </c>
      <c r="R30" s="13">
        <v>3610.4108969999997</v>
      </c>
      <c r="S30" s="12">
        <v>0</v>
      </c>
      <c r="T30" s="13">
        <v>0</v>
      </c>
      <c r="U30" s="14"/>
      <c r="V30" s="14"/>
    </row>
    <row r="31" spans="2:22" s="4" customFormat="1" ht="20.100000000000001" customHeight="1" x14ac:dyDescent="0.3">
      <c r="B31" s="11" t="s">
        <v>31</v>
      </c>
      <c r="C31" s="12">
        <f t="shared" si="1"/>
        <v>164904.17049153338</v>
      </c>
      <c r="D31" s="13">
        <f t="shared" si="1"/>
        <v>72510.290577519991</v>
      </c>
      <c r="E31" s="12">
        <v>0</v>
      </c>
      <c r="F31" s="13">
        <v>0</v>
      </c>
      <c r="G31" s="12">
        <v>2860.2624775750051</v>
      </c>
      <c r="H31" s="13">
        <v>571.40132418696885</v>
      </c>
      <c r="I31" s="12">
        <v>0</v>
      </c>
      <c r="J31" s="13">
        <v>0</v>
      </c>
      <c r="K31" s="12">
        <v>30101.633332833338</v>
      </c>
      <c r="L31" s="13">
        <v>31114.809349964537</v>
      </c>
      <c r="M31" s="12">
        <v>6902.1558680471171</v>
      </c>
      <c r="N31" s="13">
        <v>8086.2597272684861</v>
      </c>
      <c r="O31" s="12">
        <v>118943.69780549791</v>
      </c>
      <c r="P31" s="13">
        <v>29079.180701870002</v>
      </c>
      <c r="Q31" s="12">
        <v>6096.4210075800011</v>
      </c>
      <c r="R31" s="13">
        <v>3658.6394742299999</v>
      </c>
      <c r="S31" s="12">
        <v>0</v>
      </c>
      <c r="T31" s="13">
        <v>0</v>
      </c>
      <c r="U31" s="14"/>
      <c r="V31" s="14"/>
    </row>
    <row r="32" spans="2:22" s="4" customFormat="1" ht="20.100000000000001" customHeight="1" x14ac:dyDescent="0.3">
      <c r="B32" s="11" t="s">
        <v>32</v>
      </c>
      <c r="C32" s="12">
        <f t="shared" ref="C32:D38" si="2">+E32+G32+I32+K32+M32+O32+Q32</f>
        <v>20394.0930775897</v>
      </c>
      <c r="D32" s="13">
        <f t="shared" si="2"/>
        <v>15755.370141749172</v>
      </c>
      <c r="E32" s="12">
        <v>89.152901658424213</v>
      </c>
      <c r="F32" s="13">
        <v>27.894663866302672</v>
      </c>
      <c r="G32" s="12">
        <v>2486.8892735432919</v>
      </c>
      <c r="H32" s="13">
        <v>2096.4889316102226</v>
      </c>
      <c r="I32" s="12">
        <v>0</v>
      </c>
      <c r="J32" s="13">
        <v>0</v>
      </c>
      <c r="K32" s="12">
        <v>0</v>
      </c>
      <c r="L32" s="13">
        <v>0</v>
      </c>
      <c r="M32" s="12">
        <v>0</v>
      </c>
      <c r="N32" s="13">
        <v>0</v>
      </c>
      <c r="O32" s="12">
        <v>219.3664728879877</v>
      </c>
      <c r="P32" s="13">
        <v>879.37156291264807</v>
      </c>
      <c r="Q32" s="12">
        <v>17598.684429499997</v>
      </c>
      <c r="R32" s="13">
        <v>12751.614983359999</v>
      </c>
      <c r="S32" s="12">
        <v>0</v>
      </c>
      <c r="T32" s="13">
        <v>0</v>
      </c>
      <c r="U32" s="14"/>
      <c r="V32" s="14"/>
    </row>
    <row r="33" spans="2:22" s="4" customFormat="1" ht="20.100000000000001" customHeight="1" x14ac:dyDescent="0.3">
      <c r="B33" s="11" t="s">
        <v>33</v>
      </c>
      <c r="C33" s="12"/>
      <c r="D33" s="13"/>
      <c r="E33" s="12"/>
      <c r="F33" s="13"/>
      <c r="G33" s="12"/>
      <c r="H33" s="13"/>
      <c r="I33" s="12"/>
      <c r="J33" s="13"/>
      <c r="K33" s="12"/>
      <c r="L33" s="13"/>
      <c r="M33" s="12"/>
      <c r="N33" s="13"/>
      <c r="O33" s="12"/>
      <c r="P33" s="13"/>
      <c r="Q33" s="12"/>
      <c r="R33" s="13"/>
      <c r="S33" s="12"/>
      <c r="T33" s="13"/>
      <c r="U33" s="14"/>
      <c r="V33" s="14"/>
    </row>
    <row r="34" spans="2:22" s="4" customFormat="1" ht="20.100000000000001" customHeight="1" x14ac:dyDescent="0.3">
      <c r="B34" s="11" t="s">
        <v>34</v>
      </c>
      <c r="C34" s="12">
        <f t="shared" si="2"/>
        <v>944.29365201093958</v>
      </c>
      <c r="D34" s="13">
        <f t="shared" si="2"/>
        <v>1691.3426288725593</v>
      </c>
      <c r="E34" s="12">
        <v>772.59554140119155</v>
      </c>
      <c r="F34" s="13">
        <v>1007.1437631468926</v>
      </c>
      <c r="G34" s="12">
        <v>17.316120943081419</v>
      </c>
      <c r="H34" s="13">
        <v>21.71171514566667</v>
      </c>
      <c r="I34" s="12">
        <v>0</v>
      </c>
      <c r="J34" s="13">
        <v>0</v>
      </c>
      <c r="K34" s="12">
        <v>0</v>
      </c>
      <c r="L34" s="13">
        <v>0</v>
      </c>
      <c r="M34" s="12">
        <v>0</v>
      </c>
      <c r="N34" s="13">
        <v>0</v>
      </c>
      <c r="O34" s="12">
        <v>154.38198966666667</v>
      </c>
      <c r="P34" s="13">
        <v>662.48715057999993</v>
      </c>
      <c r="Q34" s="12">
        <v>0</v>
      </c>
      <c r="R34" s="13">
        <v>0</v>
      </c>
      <c r="S34" s="12">
        <v>0</v>
      </c>
      <c r="T34" s="13">
        <v>0</v>
      </c>
      <c r="U34" s="14"/>
      <c r="V34" s="14"/>
    </row>
    <row r="35" spans="2:22" s="4" customFormat="1" ht="20.100000000000001" customHeight="1" x14ac:dyDescent="0.3">
      <c r="B35" s="11" t="s">
        <v>35</v>
      </c>
      <c r="C35" s="12">
        <f t="shared" si="2"/>
        <v>154690.6</v>
      </c>
      <c r="D35" s="13">
        <f t="shared" si="2"/>
        <v>85124.389999999985</v>
      </c>
      <c r="E35" s="12">
        <v>0</v>
      </c>
      <c r="F35" s="13">
        <v>0</v>
      </c>
      <c r="G35" s="12">
        <v>0</v>
      </c>
      <c r="H35" s="13">
        <v>32.9</v>
      </c>
      <c r="I35" s="12">
        <v>0</v>
      </c>
      <c r="J35" s="13">
        <v>0</v>
      </c>
      <c r="K35" s="12">
        <v>15500.000000000002</v>
      </c>
      <c r="L35" s="13">
        <v>7212.4999999999991</v>
      </c>
      <c r="M35" s="12">
        <v>0</v>
      </c>
      <c r="N35" s="13">
        <v>0</v>
      </c>
      <c r="O35" s="12">
        <v>117225.2</v>
      </c>
      <c r="P35" s="13">
        <v>60677.09</v>
      </c>
      <c r="Q35" s="12">
        <v>21965.4</v>
      </c>
      <c r="R35" s="13">
        <v>17201.900000000001</v>
      </c>
      <c r="S35" s="12">
        <v>0</v>
      </c>
      <c r="T35" s="13">
        <v>0</v>
      </c>
      <c r="U35" s="14"/>
      <c r="V35" s="14"/>
    </row>
    <row r="36" spans="2:22" s="4" customFormat="1" ht="20.100000000000001" customHeight="1" x14ac:dyDescent="0.3">
      <c r="B36" s="11" t="s">
        <v>36</v>
      </c>
      <c r="C36" s="12">
        <f t="shared" si="2"/>
        <v>402.79866056874994</v>
      </c>
      <c r="D36" s="13">
        <f t="shared" si="2"/>
        <v>1691.0675722868182</v>
      </c>
      <c r="E36" s="12">
        <v>0</v>
      </c>
      <c r="F36" s="13">
        <v>0</v>
      </c>
      <c r="G36" s="12">
        <v>0</v>
      </c>
      <c r="H36" s="13">
        <v>0</v>
      </c>
      <c r="I36" s="12">
        <v>0</v>
      </c>
      <c r="J36" s="13">
        <v>0</v>
      </c>
      <c r="K36" s="12">
        <v>0</v>
      </c>
      <c r="L36" s="13">
        <v>0</v>
      </c>
      <c r="M36" s="12">
        <v>0</v>
      </c>
      <c r="N36" s="13">
        <v>0</v>
      </c>
      <c r="O36" s="12">
        <v>402.79866056874994</v>
      </c>
      <c r="P36" s="13">
        <v>1691.0675722868182</v>
      </c>
      <c r="Q36" s="12">
        <v>0</v>
      </c>
      <c r="R36" s="13">
        <v>0</v>
      </c>
      <c r="S36" s="12">
        <v>0</v>
      </c>
      <c r="T36" s="13">
        <v>0</v>
      </c>
      <c r="U36" s="14"/>
      <c r="V36" s="14"/>
    </row>
    <row r="37" spans="2:22" s="4" customFormat="1" ht="20.100000000000001" customHeight="1" x14ac:dyDescent="0.3">
      <c r="B37" s="11" t="s">
        <v>37</v>
      </c>
      <c r="C37" s="12">
        <f t="shared" si="2"/>
        <v>19669.02047276355</v>
      </c>
      <c r="D37" s="13">
        <f t="shared" si="2"/>
        <v>13626.932117261438</v>
      </c>
      <c r="E37" s="12">
        <v>111.08463892479961</v>
      </c>
      <c r="F37" s="13">
        <v>250.40559687829412</v>
      </c>
      <c r="G37" s="12">
        <v>2912.5881347699992</v>
      </c>
      <c r="H37" s="13">
        <v>402.38396521999994</v>
      </c>
      <c r="I37" s="12">
        <v>0</v>
      </c>
      <c r="J37" s="13">
        <v>0</v>
      </c>
      <c r="K37" s="12">
        <v>0</v>
      </c>
      <c r="L37" s="13">
        <v>0</v>
      </c>
      <c r="M37" s="12">
        <v>1395.9011895000001</v>
      </c>
      <c r="N37" s="13">
        <v>686.40125008999996</v>
      </c>
      <c r="O37" s="12">
        <v>15249.44650956875</v>
      </c>
      <c r="P37" s="13">
        <v>12287.741305073145</v>
      </c>
      <c r="Q37" s="12">
        <v>0</v>
      </c>
      <c r="R37" s="13">
        <v>0</v>
      </c>
      <c r="S37" s="12">
        <v>0</v>
      </c>
      <c r="T37" s="13">
        <v>0</v>
      </c>
      <c r="U37" s="14"/>
      <c r="V37" s="14"/>
    </row>
    <row r="38" spans="2:22" s="4" customFormat="1" ht="20.100000000000001" customHeight="1" x14ac:dyDescent="0.3">
      <c r="B38" s="11" t="s">
        <v>38</v>
      </c>
      <c r="C38" s="12">
        <f t="shared" si="2"/>
        <v>26279.92693510887</v>
      </c>
      <c r="D38" s="13">
        <f t="shared" si="2"/>
        <v>50827.837033401171</v>
      </c>
      <c r="E38" s="12">
        <v>358.41899718576178</v>
      </c>
      <c r="F38" s="13">
        <v>85.667121565933158</v>
      </c>
      <c r="G38" s="12">
        <v>1162.5539240914434</v>
      </c>
      <c r="H38" s="13">
        <v>780.99207816000012</v>
      </c>
      <c r="I38" s="12">
        <v>0</v>
      </c>
      <c r="J38" s="13">
        <v>0</v>
      </c>
      <c r="K38" s="12">
        <v>22725.5</v>
      </c>
      <c r="L38" s="13">
        <v>47961.769876098086</v>
      </c>
      <c r="M38" s="12">
        <v>12.779557969999999</v>
      </c>
      <c r="N38" s="13">
        <v>0.87840056</v>
      </c>
      <c r="O38" s="12">
        <v>2020.6744558616667</v>
      </c>
      <c r="P38" s="13">
        <v>1998.5295570171506</v>
      </c>
      <c r="Q38" s="12">
        <v>0</v>
      </c>
      <c r="R38" s="13">
        <v>0</v>
      </c>
      <c r="S38" s="12">
        <v>0</v>
      </c>
      <c r="T38" s="13">
        <v>0</v>
      </c>
      <c r="U38" s="14"/>
      <c r="V38" s="14"/>
    </row>
    <row r="39" spans="2:22" x14ac:dyDescent="0.25">
      <c r="B39" s="15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8"/>
      <c r="R39" s="10"/>
      <c r="S39" s="10"/>
      <c r="T39" s="10"/>
      <c r="U39" s="10"/>
      <c r="V39" s="10"/>
    </row>
    <row r="40" spans="2:22" x14ac:dyDescent="0.25">
      <c r="B40" s="19" t="s">
        <v>39</v>
      </c>
      <c r="C40" s="20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3"/>
    </row>
    <row r="41" spans="2:22" x14ac:dyDescent="0.25">
      <c r="B41" s="1" t="s">
        <v>40</v>
      </c>
      <c r="Q41" s="23"/>
    </row>
    <row r="42" spans="2:22" x14ac:dyDescent="0.25">
      <c r="B42" s="1" t="s">
        <v>41</v>
      </c>
      <c r="C42" s="24"/>
      <c r="D42" s="24"/>
      <c r="I42" s="25"/>
      <c r="J42" s="25"/>
      <c r="Q42" s="23"/>
    </row>
    <row r="43" spans="2:22" x14ac:dyDescent="0.25">
      <c r="B43" s="1" t="s">
        <v>42</v>
      </c>
    </row>
    <row r="44" spans="2:22" x14ac:dyDescent="0.25">
      <c r="B44" s="1" t="s">
        <v>43</v>
      </c>
      <c r="C44" s="24"/>
      <c r="D44" s="24"/>
    </row>
    <row r="45" spans="2:22" x14ac:dyDescent="0.25">
      <c r="B45" s="1" t="s">
        <v>44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22" x14ac:dyDescent="0.25">
      <c r="C46" s="26"/>
      <c r="D46" s="26"/>
      <c r="E46" s="27"/>
      <c r="F46" s="26"/>
      <c r="G46" s="26"/>
      <c r="H46" s="26"/>
      <c r="I46" s="27"/>
      <c r="J46" s="26"/>
      <c r="K46" s="26"/>
      <c r="L46" s="26"/>
      <c r="M46" s="26"/>
      <c r="N46" s="26"/>
      <c r="O46" s="26"/>
      <c r="P46" s="26"/>
      <c r="Q46" s="26"/>
    </row>
  </sheetData>
  <mergeCells count="12">
    <mergeCell ref="Q12:R12"/>
    <mergeCell ref="S12:T12"/>
    <mergeCell ref="B9:T9"/>
    <mergeCell ref="B10:T10"/>
    <mergeCell ref="B12:B13"/>
    <mergeCell ref="C12:D12"/>
    <mergeCell ref="E12:F12"/>
    <mergeCell ref="G12:H12"/>
    <mergeCell ref="I12:J12"/>
    <mergeCell ref="K12:L12"/>
    <mergeCell ref="M12:N12"/>
    <mergeCell ref="O12:P12"/>
  </mergeCells>
  <printOptions horizontalCentered="1" verticalCentered="1"/>
  <pageMargins left="0.31496062992125984" right="0.31496062992125984" top="0.35433070866141736" bottom="0.15748031496062992" header="0.31496062992125984" footer="0.31496062992125984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IV Trim 2025 millones</vt:lpstr>
      <vt:lpstr>'IV Trim 2025 millones'!Área_de_impresión</vt:lpstr>
      <vt:lpstr>'IV Trim 2025 millones'!Títulos_a_imprimir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Albera Scagliusi</dc:creator>
  <cp:lastModifiedBy>Luciano Albera Scagliusi</cp:lastModifiedBy>
  <dcterms:created xsi:type="dcterms:W3CDTF">2026-05-04T19:40:42Z</dcterms:created>
  <dcterms:modified xsi:type="dcterms:W3CDTF">2026-06-05T15:32:05Z</dcterms:modified>
</cp:coreProperties>
</file>