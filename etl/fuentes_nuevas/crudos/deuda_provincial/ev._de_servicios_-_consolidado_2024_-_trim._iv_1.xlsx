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F:\SSCFP\DNAP - SSCFP\34 - Publicaciones\2024\servicios serie y consolidado\"/>
    </mc:Choice>
  </mc:AlternateContent>
  <xr:revisionPtr revIDLastSave="0" documentId="8_{8C7DB5DA-C24C-42F5-BFD1-8713B3A57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V Trim 2024 millones" sheetId="2" r:id="rId1"/>
  </sheets>
  <definedNames>
    <definedName name="_xlnm.Print_Area" localSheetId="0">'IV Trim 2024 millones'!$B$9:$T$38</definedName>
    <definedName name="_xlnm.Print_Titles" localSheetId="0">'IV Trim 2024 millones'!$B:$B,'IV Trim 2024 millones'!$12:$13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C24" i="2"/>
  <c r="C15" i="2"/>
  <c r="C14" i="2"/>
  <c r="C19" i="2"/>
  <c r="D19" i="2"/>
  <c r="C20" i="2"/>
  <c r="D20" i="2" l="1"/>
  <c r="D18" i="2"/>
  <c r="C18" i="2"/>
  <c r="D27" i="2"/>
  <c r="C27" i="2"/>
  <c r="D26" i="2"/>
  <c r="D24" i="2"/>
  <c r="D23" i="2"/>
  <c r="C23" i="2"/>
  <c r="D25" i="2"/>
  <c r="C25" i="2"/>
  <c r="D15" i="2"/>
  <c r="D16" i="2" l="1"/>
  <c r="C16" i="2"/>
  <c r="D36" i="2"/>
  <c r="C36" i="2"/>
  <c r="O14" i="2" l="1"/>
  <c r="Q14" i="2"/>
  <c r="M14" i="2"/>
  <c r="R14" i="2"/>
  <c r="H14" i="2"/>
  <c r="S14" i="2"/>
  <c r="E14" i="2"/>
  <c r="T14" i="2"/>
  <c r="I14" i="2"/>
  <c r="F14" i="2"/>
  <c r="P14" i="2"/>
  <c r="D14" i="2"/>
  <c r="K14" i="2"/>
  <c r="G14" i="2"/>
  <c r="J14" i="2"/>
  <c r="L14" i="2"/>
  <c r="N14" i="2"/>
</calcChain>
</file>

<file path=xl/sharedStrings.xml><?xml version="1.0" encoding="utf-8"?>
<sst xmlns="http://schemas.openxmlformats.org/spreadsheetml/2006/main" count="62" uniqueCount="46">
  <si>
    <t>FFFIR (2)</t>
  </si>
  <si>
    <t>FFDP (3)</t>
  </si>
  <si>
    <t>Amortización</t>
  </si>
  <si>
    <t>Interés</t>
  </si>
  <si>
    <t xml:space="preserve">TOTAL </t>
  </si>
  <si>
    <t>Notas:</t>
  </si>
  <si>
    <t>1).-Todos los datos son preliminares y se encuentran sujetos a revisión.</t>
  </si>
  <si>
    <t>2).- Fondo Fiduciario Federal de Infraestructura Regional.</t>
  </si>
  <si>
    <t>3).- Fondo Fiduciario de Desarrollo Provincial.</t>
  </si>
  <si>
    <t>4).- Bonos expresados a Valor Residual.</t>
  </si>
  <si>
    <t>5). - El Total de Deuda Pública Provincial es neto de Deuda Indirecta.</t>
  </si>
  <si>
    <t>Año</t>
  </si>
  <si>
    <t>TOTAL (5)</t>
  </si>
  <si>
    <t xml:space="preserve"> En millones de pesos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</si>
  <si>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</si>
  <si>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</si>
  <si>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</si>
  <si>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</si>
  <si>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</si>
  <si>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</si>
  <si>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</si>
  <si>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</si>
  <si>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</si>
  <si>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</si>
  <si>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</si>
  <si>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</si>
  <si>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</si>
  <si>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</si>
  <si>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</si>
  <si>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</si>
  <si>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</si>
  <si>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</si>
  <si>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</si>
  <si>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Fé</t>
  </si>
  <si>
    <t>Santiago del Estero</t>
  </si>
  <si>
    <t>Tierra del Fuego</t>
  </si>
  <si>
    <t>Tucumán</t>
  </si>
  <si>
    <t>CABA</t>
  </si>
  <si>
    <t>Gobierno Nacional</t>
  </si>
  <si>
    <t>Bancos</t>
  </si>
  <si>
    <t>Deuda Consolidada</t>
  </si>
  <si>
    <t>Bonos (4)</t>
  </si>
  <si>
    <t>Organismos Internacionales</t>
  </si>
  <si>
    <t>Deuda Indirecta</t>
  </si>
  <si>
    <t>SERVICIOS DEVENGADOS ACUMULADOS AL 31/12/2024 (1)</t>
  </si>
  <si>
    <t>6). - Se excluye la  Provincia de La Pampa   por no disponer información completa de los Servicios de la Deuda.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</si>
</sst>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_ * #,##0.00_ ;_ * \-#,##0.00_ ;_ * &quot;-&quot;??_ ;_ @_ "/>
    <numFmt numFmtId="166" formatCode="_ * #,##0_ ;_ * \-#,##0_ ;_ * &quot;-&quot;??_ ;_ @_ "/>
    <numFmt numFmtId="167" formatCode="#,##0;\ \-0;\ \-;\ @"/>
  </numFmts>
  <fonts count="13" x14ac:knownFonts="1">
    <font>
      <sz val="10"/>
      <name val="Arial"/>
    </font>
    <font>
      <sz val="10"/>
      <name val="Arial"/>
      <family val="2"/>
    </font>
    <font>
      <b/>
      <sz val="11"/>
      <color indexed="8"/>
      <name val="Roboto"/>
    </font>
    <font>
      <sz val="11"/>
      <name val="Roboto"/>
    </font>
    <font>
      <sz val="11"/>
      <color indexed="56"/>
      <name val="Roboto"/>
    </font>
    <font>
      <b/>
      <sz val="11"/>
      <color theme="0"/>
      <name val="Roboto"/>
    </font>
    <font>
      <b/>
      <sz val="11"/>
      <name val="Roboto"/>
    </font>
    <font>
      <b/>
      <sz val="11"/>
      <color indexed="56"/>
      <name val="Roboto"/>
    </font>
    <font>
      <b/>
      <sz val="11"/>
      <color indexed="60"/>
      <name val="Roboto"/>
    </font>
    <font>
      <b/>
      <i/>
      <sz val="11"/>
      <name val="Roboto"/>
    </font>
    <font>
      <b/>
      <u/>
      <sz val="11"/>
      <color indexed="8"/>
      <name val="Roboto"/>
    </font>
    <font>
      <b/>
      <sz val="14"/>
      <name val="Roboto"/>
    </font>
    <font>
      <sz val="11"/>
      <color indexed="8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52C4F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1" tint="0.34998626667073579"/>
      </top>
      <bottom style="thin">
        <color theme="0" tint="-0.14996795556505021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3" fontId="4" fillId="2" borderId="0" xfId="0" applyNumberFormat="1" applyFont="1" applyFill="1"/>
    <xf numFmtId="0" fontId="3" fillId="2" borderId="0" xfId="0" applyFont="1" applyFill="1"/>
    <xf numFmtId="0" fontId="7" fillId="0" borderId="0" xfId="0" applyFont="1"/>
    <xf numFmtId="164" fontId="8" fillId="0" borderId="0" xfId="0" applyNumberFormat="1" applyFont="1"/>
    <xf numFmtId="0" fontId="3" fillId="0" borderId="0" xfId="0" applyFont="1"/>
    <xf numFmtId="166" fontId="3" fillId="0" borderId="0" xfId="1" applyNumberFormat="1" applyFont="1" applyFill="1" applyAlignment="1"/>
    <xf numFmtId="166" fontId="3" fillId="0" borderId="0" xfId="1" applyNumberFormat="1" applyFont="1" applyFill="1" applyBorder="1" applyAlignment="1"/>
    <xf numFmtId="0" fontId="9" fillId="2" borderId="0" xfId="0" applyFont="1" applyFill="1"/>
    <xf numFmtId="0" fontId="2" fillId="2" borderId="0" xfId="0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10" fillId="2" borderId="0" xfId="0" applyFont="1" applyFill="1"/>
    <xf numFmtId="3" fontId="2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3" fontId="3" fillId="2" borderId="0" xfId="0" applyNumberFormat="1" applyFont="1" applyFill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left"/>
    </xf>
    <xf numFmtId="166" fontId="3" fillId="2" borderId="0" xfId="0" applyNumberFormat="1" applyFont="1" applyFill="1"/>
    <xf numFmtId="166" fontId="3" fillId="0" borderId="0" xfId="0" applyNumberFormat="1" applyFont="1"/>
    <xf numFmtId="166" fontId="2" fillId="2" borderId="0" xfId="0" applyNumberFormat="1" applyFont="1" applyFill="1" applyAlignment="1">
      <alignment horizontal="center"/>
    </xf>
    <xf numFmtId="166" fontId="4" fillId="2" borderId="0" xfId="0" applyNumberFormat="1" applyFont="1" applyFill="1"/>
    <xf numFmtId="166" fontId="3" fillId="2" borderId="0" xfId="0" applyNumberFormat="1" applyFont="1" applyFill="1" applyAlignment="1">
      <alignment horizontal="center"/>
    </xf>
    <xf numFmtId="0" fontId="5" fillId="4" borderId="2" xfId="2" applyFont="1" applyFill="1" applyBorder="1" applyAlignment="1">
      <alignment horizontal="center" vertical="center" wrapText="1"/>
    </xf>
    <xf numFmtId="0" fontId="6" fillId="3" borderId="2" xfId="2" applyFont="1" applyFill="1" applyBorder="1" applyAlignment="1">
      <alignment horizontal="center"/>
    </xf>
    <xf numFmtId="167" fontId="6" fillId="3" borderId="2" xfId="2" applyNumberFormat="1" applyFont="1" applyFill="1" applyBorder="1" applyAlignment="1">
      <alignment horizontal="center"/>
    </xf>
    <xf numFmtId="0" fontId="2" fillId="2" borderId="2" xfId="2" applyFont="1" applyFill="1" applyBorder="1" applyAlignment="1">
      <alignment horizontal="left"/>
    </xf>
    <xf numFmtId="167" fontId="3" fillId="0" borderId="2" xfId="2" applyNumberFormat="1" applyFont="1" applyBorder="1" applyAlignment="1">
      <alignment horizontal="center" vertical="center" wrapText="1"/>
    </xf>
    <xf numFmtId="167" fontId="12" fillId="2" borderId="2" xfId="2" applyNumberFormat="1" applyFont="1" applyFill="1" applyBorder="1" applyAlignment="1">
      <alignment horizontal="center"/>
    </xf>
    <xf numFmtId="167" fontId="3" fillId="2" borderId="2" xfId="2" applyNumberFormat="1" applyFont="1" applyFill="1" applyBorder="1" applyAlignment="1">
      <alignment horizontal="center" vertical="center" wrapText="1"/>
    </xf>
    <xf numFmtId="0" fontId="2" fillId="0" borderId="2" xfId="2" applyFont="1" applyBorder="1" applyAlignment="1">
      <alignment horizontal="left"/>
    </xf>
    <xf numFmtId="167" fontId="12" fillId="0" borderId="2" xfId="2" applyNumberFormat="1" applyFont="1" applyBorder="1" applyAlignment="1">
      <alignment horizontal="center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1" xfId="2" applyFont="1" applyFill="1" applyBorder="1" applyAlignment="1">
      <alignment horizontal="center" vertical="center" wrapText="1"/>
    </xf>
    <xf numFmtId="0" fontId="11" fillId="2" borderId="0" xfId="2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/>
    </xf>
    <xf numFmtId="0" fontId="5" fillId="4" borderId="2" xfId="2" quotePrefix="1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19050</xdr:rowOff>
    </xdr:from>
    <xdr:to>
      <xdr:col>2</xdr:col>
      <xdr:colOff>170815</xdr:colOff>
      <xdr:row>8</xdr:row>
      <xdr:rowOff>38100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80" t="23640" r="18195" b="20468"/>
        <a:stretch>
          <a:fillRect/>
        </a:stretch>
      </xdr:blipFill>
      <xdr:spPr bwMode="auto">
        <a:xfrm>
          <a:off x="95250" y="209550"/>
          <a:ext cx="1656715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Y46"/>
  <sheetViews>
    <sheetView showGridLines="0" tabSelected="1" topLeftCell="A7" zoomScaleNormal="100" workbookViewId="0">
      <selection activeCell="L22" sqref="L22"/>
    </sheetView>
  </sheetViews>
  <sheetFormatPr baseColWidth="10" defaultRowHeight="15" x14ac:dyDescent="0.25"/>
  <cols>
    <col min="1" max="1" width="0.7109375" style="2" customWidth="1"/>
    <col min="2" max="2" width="23" style="2" customWidth="1"/>
    <col min="3" max="3" width="15.140625" style="2" customWidth="1"/>
    <col min="4" max="4" width="17.7109375" style="2" customWidth="1"/>
    <col min="5" max="20" width="15.140625" style="2" customWidth="1"/>
    <col min="21" max="16384" width="11.42578125" style="2"/>
  </cols>
  <sheetData>
    <row r="9" spans="2:25" ht="18.75" x14ac:dyDescent="0.25">
      <c r="B9" s="34" t="s">
        <v>44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2:25" x14ac:dyDescent="0.25">
      <c r="B10" s="35" t="s">
        <v>13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5" x14ac:dyDescent="0.25">
      <c r="B11" s="3"/>
      <c r="C11" s="4"/>
      <c r="D11" s="4"/>
      <c r="E11" s="5"/>
      <c r="F11" s="5"/>
      <c r="G11" s="5"/>
      <c r="H11" s="5"/>
      <c r="I11" s="5"/>
      <c r="J11" s="5"/>
      <c r="K11" s="5"/>
      <c r="L11" s="6"/>
      <c r="M11" s="7"/>
      <c r="N11" s="7"/>
      <c r="O11" s="6"/>
      <c r="P11" s="6"/>
      <c r="Q11" s="5"/>
      <c r="R11" s="5"/>
      <c r="S11" s="5"/>
      <c r="T11" s="5"/>
      <c r="U11" s="5"/>
      <c r="V11" s="5"/>
      <c r="W11" s="5"/>
      <c r="X11" s="5"/>
      <c r="Y11" s="5"/>
    </row>
    <row r="12" spans="2:25" ht="33.75" customHeight="1" x14ac:dyDescent="0.25">
      <c r="B12" s="31" t="s">
        <v>11</v>
      </c>
      <c r="C12" s="36" t="s">
        <v>12</v>
      </c>
      <c r="D12" s="31"/>
      <c r="E12" s="31" t="s">
        <v>38</v>
      </c>
      <c r="F12" s="31"/>
      <c r="G12" s="31" t="s">
        <v>0</v>
      </c>
      <c r="H12" s="31"/>
      <c r="I12" s="31" t="s">
        <v>1</v>
      </c>
      <c r="J12" s="31"/>
      <c r="K12" s="31" t="s">
        <v>39</v>
      </c>
      <c r="L12" s="31"/>
      <c r="M12" s="31" t="s">
        <v>40</v>
      </c>
      <c r="N12" s="31"/>
      <c r="O12" s="31" t="s">
        <v>41</v>
      </c>
      <c r="P12" s="31"/>
      <c r="Q12" s="31" t="s">
        <v>42</v>
      </c>
      <c r="R12" s="31"/>
      <c r="S12" s="32" t="s">
        <v>43</v>
      </c>
      <c r="T12" s="33"/>
    </row>
    <row r="13" spans="2:25" ht="20.25" customHeight="1" x14ac:dyDescent="0.25">
      <c r="B13" s="31"/>
      <c r="C13" s="22" t="s">
        <v>2</v>
      </c>
      <c r="D13" s="22" t="s">
        <v>3</v>
      </c>
      <c r="E13" s="22" t="s">
        <v>2</v>
      </c>
      <c r="F13" s="22" t="s">
        <v>3</v>
      </c>
      <c r="G13" s="22" t="s">
        <v>2</v>
      </c>
      <c r="H13" s="22" t="s">
        <v>3</v>
      </c>
      <c r="I13" s="22" t="s">
        <v>2</v>
      </c>
      <c r="J13" s="22" t="s">
        <v>3</v>
      </c>
      <c r="K13" s="22" t="s">
        <v>2</v>
      </c>
      <c r="L13" s="22" t="s">
        <v>3</v>
      </c>
      <c r="M13" s="22" t="s">
        <v>2</v>
      </c>
      <c r="N13" s="22" t="s">
        <v>3</v>
      </c>
      <c r="O13" s="22" t="s">
        <v>2</v>
      </c>
      <c r="P13" s="22" t="s">
        <v>3</v>
      </c>
      <c r="Q13" s="22" t="s">
        <v>2</v>
      </c>
      <c r="R13" s="22" t="s">
        <v>3</v>
      </c>
      <c r="S13" s="22" t="s">
        <v>2</v>
      </c>
      <c r="T13" s="22" t="s">
        <v>3</v>
      </c>
    </row>
    <row r="14" spans="2:25" ht="20.100000000000001" customHeight="1" x14ac:dyDescent="0.25">
      <c r="B14" s="23" t="s">
        <v>4</v>
      </c>
      <c r="C14" s="24">
        <f>+SUM(C15:C38)</f>
        <v>2728622.3999874382</v>
      </c>
      <c r="D14" s="24">
        <f>+SUM(D15:D38)</f>
        <v>1543204.1491119715</v>
      </c>
      <c r="E14" s="24">
        <f t="shared" ref="E14:T14" si="0">+SUM(E15:E38)</f>
        <v>32372.376172913173</v>
      </c>
      <c r="F14" s="24">
        <f t="shared" si="0"/>
        <v>17966.629378675454</v>
      </c>
      <c r="G14" s="24">
        <f t="shared" si="0"/>
        <v>23086.298620117133</v>
      </c>
      <c r="H14" s="24">
        <f t="shared" si="0"/>
        <v>10391.00260051216</v>
      </c>
      <c r="I14" s="24">
        <f t="shared" si="0"/>
        <v>355127.70003797067</v>
      </c>
      <c r="J14" s="24">
        <f t="shared" si="0"/>
        <v>116.75753448031479</v>
      </c>
      <c r="K14" s="24">
        <f t="shared" si="0"/>
        <v>83746.823645152821</v>
      </c>
      <c r="L14" s="24">
        <f t="shared" si="0"/>
        <v>123318.69996963814</v>
      </c>
      <c r="M14" s="24">
        <f t="shared" si="0"/>
        <v>6286.4490366390073</v>
      </c>
      <c r="N14" s="24">
        <f t="shared" si="0"/>
        <v>7833.3734357654257</v>
      </c>
      <c r="O14" s="24">
        <f t="shared" si="0"/>
        <v>1985893.7687072211</v>
      </c>
      <c r="P14" s="24">
        <f t="shared" si="0"/>
        <v>1147050.2730472276</v>
      </c>
      <c r="Q14" s="24">
        <f t="shared" si="0"/>
        <v>242108.98376742314</v>
      </c>
      <c r="R14" s="24">
        <f t="shared" si="0"/>
        <v>236527.41314567174</v>
      </c>
      <c r="S14" s="24">
        <f t="shared" si="0"/>
        <v>15.24</v>
      </c>
      <c r="T14" s="24">
        <f t="shared" si="0"/>
        <v>363.03999999999996</v>
      </c>
      <c r="U14" s="17"/>
      <c r="V14" s="17"/>
    </row>
    <row r="15" spans="2:25" s="5" customFormat="1" ht="20.100000000000001" customHeight="1" x14ac:dyDescent="0.25">
      <c r="B15" s="25" t="s">
        <v>37</v>
      </c>
      <c r="C15" s="26">
        <f>+E15+G15+I15+K15+M15+O15+Q15</f>
        <v>75697.148150189401</v>
      </c>
      <c r="D15" s="27">
        <f>+F15+H15+J15+L15+N15+P15+R15</f>
        <v>139026.15273649257</v>
      </c>
      <c r="E15" s="26">
        <v>75.396100609413622</v>
      </c>
      <c r="F15" s="27">
        <v>127.26536803989633</v>
      </c>
      <c r="G15" s="26">
        <v>0</v>
      </c>
      <c r="H15" s="27">
        <v>0</v>
      </c>
      <c r="I15" s="26">
        <v>0</v>
      </c>
      <c r="J15" s="27">
        <v>0</v>
      </c>
      <c r="K15" s="26">
        <v>317.00206645999998</v>
      </c>
      <c r="L15" s="27">
        <v>3461.2407925800003</v>
      </c>
      <c r="M15" s="26">
        <v>0</v>
      </c>
      <c r="N15" s="27">
        <v>0</v>
      </c>
      <c r="O15" s="26">
        <v>26003.232265999999</v>
      </c>
      <c r="P15" s="27">
        <v>95494.718646313282</v>
      </c>
      <c r="Q15" s="26">
        <v>49301.517717119998</v>
      </c>
      <c r="R15" s="27">
        <v>39942.927929559381</v>
      </c>
      <c r="S15" s="26">
        <v>0</v>
      </c>
      <c r="T15" s="27">
        <v>0</v>
      </c>
      <c r="U15" s="18"/>
      <c r="V15" s="18"/>
    </row>
    <row r="16" spans="2:25" s="5" customFormat="1" ht="20.100000000000001" customHeight="1" x14ac:dyDescent="0.25">
      <c r="B16" s="25" t="s">
        <v>14</v>
      </c>
      <c r="C16" s="28">
        <f t="shared" ref="C16:D16" si="1">+E16+G16+I16+K16+M16+O16+Q16</f>
        <v>1023596.64061375</v>
      </c>
      <c r="D16" s="27">
        <f t="shared" si="1"/>
        <v>685258.84840160271</v>
      </c>
      <c r="E16" s="28">
        <v>0</v>
      </c>
      <c r="F16" s="27">
        <v>0</v>
      </c>
      <c r="G16" s="28">
        <v>1840.2522204700001</v>
      </c>
      <c r="H16" s="27">
        <v>362.49057095999996</v>
      </c>
      <c r="I16" s="28"/>
      <c r="J16" s="27">
        <v>0.13869636266910526</v>
      </c>
      <c r="K16" s="28">
        <v>0</v>
      </c>
      <c r="L16" s="27">
        <v>0</v>
      </c>
      <c r="M16" s="28">
        <v>0</v>
      </c>
      <c r="N16" s="27">
        <v>0</v>
      </c>
      <c r="O16" s="28">
        <v>976610.97192913992</v>
      </c>
      <c r="P16" s="27">
        <v>591305.31943450996</v>
      </c>
      <c r="Q16" s="28">
        <v>45145.416464140006</v>
      </c>
      <c r="R16" s="27">
        <v>93590.899699770001</v>
      </c>
      <c r="S16" s="28">
        <v>0</v>
      </c>
      <c r="T16" s="27">
        <v>0</v>
      </c>
      <c r="U16" s="18"/>
      <c r="V16" s="18"/>
    </row>
    <row r="17" spans="2:22" s="5" customFormat="1" ht="20.100000000000001" customHeight="1" x14ac:dyDescent="0.25">
      <c r="B17" s="25" t="s">
        <v>15</v>
      </c>
      <c r="C17" s="26">
        <v>24933.914255879263</v>
      </c>
      <c r="D17" s="27">
        <v>2261.3196302287447</v>
      </c>
      <c r="E17" s="26">
        <v>83.10258514675985</v>
      </c>
      <c r="F17" s="27">
        <v>32.621800583231476</v>
      </c>
      <c r="G17" s="26">
        <v>1860.1952681449172</v>
      </c>
      <c r="H17" s="27">
        <v>114.86039048951308</v>
      </c>
      <c r="I17" s="26">
        <v>21450.557477476919</v>
      </c>
      <c r="J17" s="27">
        <v>10.753437849040488</v>
      </c>
      <c r="K17" s="26">
        <v>0</v>
      </c>
      <c r="L17" s="27">
        <v>0</v>
      </c>
      <c r="M17" s="26">
        <v>33.484586394000011</v>
      </c>
      <c r="N17" s="27">
        <v>7.1421816375345726</v>
      </c>
      <c r="O17" s="26">
        <v>0</v>
      </c>
      <c r="P17" s="27">
        <v>1267.4405727399997</v>
      </c>
      <c r="Q17" s="26">
        <v>1506.5743387166665</v>
      </c>
      <c r="R17" s="27">
        <v>828.50124692942529</v>
      </c>
      <c r="S17" s="26">
        <v>0</v>
      </c>
      <c r="T17" s="27">
        <v>0</v>
      </c>
      <c r="U17" s="18"/>
      <c r="V17" s="18"/>
    </row>
    <row r="18" spans="2:22" s="5" customFormat="1" ht="20.100000000000001" customHeight="1" x14ac:dyDescent="0.25">
      <c r="B18" s="25" t="s">
        <v>16</v>
      </c>
      <c r="C18" s="26">
        <f t="shared" ref="C18:D18" si="2">+E18+G18+I18+K18+M18+O18+Q18</f>
        <v>344190.75522751338</v>
      </c>
      <c r="D18" s="27">
        <f t="shared" si="2"/>
        <v>126012.6396938049</v>
      </c>
      <c r="E18" s="26">
        <v>161.13782196917694</v>
      </c>
      <c r="F18" s="27">
        <v>60.714436447207746</v>
      </c>
      <c r="G18" s="26">
        <v>1593.7039999999997</v>
      </c>
      <c r="H18" s="27">
        <v>340.92400000000004</v>
      </c>
      <c r="I18" s="26">
        <v>1117.0631024795784</v>
      </c>
      <c r="J18" s="27">
        <v>8.8752958827143874E-2</v>
      </c>
      <c r="K18" s="26">
        <v>24160.762150314647</v>
      </c>
      <c r="L18" s="27">
        <v>2074.4999766120336</v>
      </c>
      <c r="M18" s="26">
        <v>0</v>
      </c>
      <c r="N18" s="27">
        <v>0</v>
      </c>
      <c r="O18" s="26">
        <v>264404.92761444999</v>
      </c>
      <c r="P18" s="27">
        <v>99769.285728484116</v>
      </c>
      <c r="Q18" s="26">
        <v>52753.160538299991</v>
      </c>
      <c r="R18" s="27">
        <v>23767.126799302714</v>
      </c>
      <c r="S18" s="26">
        <v>0</v>
      </c>
      <c r="T18" s="27">
        <v>0</v>
      </c>
      <c r="U18" s="18"/>
      <c r="V18" s="18"/>
    </row>
    <row r="19" spans="2:22" s="5" customFormat="1" ht="20.100000000000001" customHeight="1" x14ac:dyDescent="0.25">
      <c r="B19" s="25" t="s">
        <v>17</v>
      </c>
      <c r="C19" s="26">
        <f t="shared" ref="C19" si="3">+E19+G19+I19+K19+M19+O19+Q19</f>
        <v>6953.4445613825328</v>
      </c>
      <c r="D19" s="27">
        <f t="shared" ref="D19" si="4">+F19+H19+J19+L19+N19+P19+R19</f>
        <v>5015.8697560989167</v>
      </c>
      <c r="E19" s="26">
        <v>122.74022676000004</v>
      </c>
      <c r="F19" s="27">
        <v>48.181499954598749</v>
      </c>
      <c r="G19" s="26">
        <v>2160.2259404100005</v>
      </c>
      <c r="H19" s="27">
        <v>374.11292158000003</v>
      </c>
      <c r="I19" s="26">
        <v>0</v>
      </c>
      <c r="J19" s="27">
        <v>0</v>
      </c>
      <c r="K19" s="26">
        <v>0</v>
      </c>
      <c r="L19" s="27">
        <v>0</v>
      </c>
      <c r="M19" s="26">
        <v>0</v>
      </c>
      <c r="N19" s="27">
        <v>0</v>
      </c>
      <c r="O19" s="26">
        <v>0</v>
      </c>
      <c r="P19" s="27">
        <v>1710.6102141600002</v>
      </c>
      <c r="Q19" s="26">
        <v>4670.4783942125323</v>
      </c>
      <c r="R19" s="27">
        <v>2882.9651204043171</v>
      </c>
      <c r="S19" s="26">
        <v>0</v>
      </c>
      <c r="T19" s="27">
        <v>0</v>
      </c>
      <c r="U19" s="18"/>
      <c r="V19" s="18"/>
    </row>
    <row r="20" spans="2:22" s="5" customFormat="1" ht="20.100000000000001" customHeight="1" x14ac:dyDescent="0.25">
      <c r="B20" s="29" t="s">
        <v>18</v>
      </c>
      <c r="C20" s="30">
        <f>+E20+G20+I20+K20+M20+O20+Q20+S20</f>
        <v>100691.21371715855</v>
      </c>
      <c r="D20" s="30">
        <f>+F20+H20+J20+L20+N20+P20+R20+T20</f>
        <v>70340.199411793001</v>
      </c>
      <c r="E20" s="26">
        <v>0</v>
      </c>
      <c r="F20" s="30">
        <v>682.20946334303721</v>
      </c>
      <c r="G20" s="26">
        <v>1281.5972300000001</v>
      </c>
      <c r="H20" s="30">
        <v>831.28861632999985</v>
      </c>
      <c r="I20" s="26">
        <v>25722.764825884144</v>
      </c>
      <c r="J20" s="30">
        <v>9.4663698319628402</v>
      </c>
      <c r="K20" s="26">
        <v>6418.3704517544147</v>
      </c>
      <c r="L20" s="30">
        <v>6662.3011164179998</v>
      </c>
      <c r="M20" s="26">
        <v>0</v>
      </c>
      <c r="N20" s="30">
        <v>0</v>
      </c>
      <c r="O20" s="26">
        <v>61505.793451909994</v>
      </c>
      <c r="P20" s="30">
        <v>56476.480248709995</v>
      </c>
      <c r="Q20" s="26">
        <v>5762.6877576099996</v>
      </c>
      <c r="R20" s="30">
        <v>5678.4535971599998</v>
      </c>
      <c r="S20" s="26">
        <v>0</v>
      </c>
      <c r="T20" s="30">
        <v>0</v>
      </c>
      <c r="U20" s="18"/>
      <c r="V20" s="18"/>
    </row>
    <row r="21" spans="2:22" s="5" customFormat="1" ht="20.100000000000001" customHeight="1" x14ac:dyDescent="0.25">
      <c r="B21" s="25" t="s">
        <v>19</v>
      </c>
      <c r="C21" s="26">
        <v>100361.64531089558</v>
      </c>
      <c r="D21" s="27">
        <v>41939.20002572173</v>
      </c>
      <c r="E21" s="26">
        <v>0</v>
      </c>
      <c r="F21" s="27">
        <v>65.142779579999996</v>
      </c>
      <c r="G21" s="26">
        <v>199.60141732999998</v>
      </c>
      <c r="H21" s="27">
        <v>2.518628629999998</v>
      </c>
      <c r="I21" s="26">
        <v>10447.568040683527</v>
      </c>
      <c r="J21" s="27">
        <v>9.1308882328165613</v>
      </c>
      <c r="K21" s="26">
        <v>0</v>
      </c>
      <c r="L21" s="27">
        <v>0</v>
      </c>
      <c r="M21" s="26">
        <v>0</v>
      </c>
      <c r="N21" s="27">
        <v>0</v>
      </c>
      <c r="O21" s="26">
        <v>87208.592967410004</v>
      </c>
      <c r="P21" s="27">
        <v>40852.153957276889</v>
      </c>
      <c r="Q21" s="26">
        <v>2505.8828854720546</v>
      </c>
      <c r="R21" s="27">
        <v>1010.2537720020282</v>
      </c>
      <c r="S21" s="26">
        <v>0</v>
      </c>
      <c r="T21" s="27">
        <v>0</v>
      </c>
      <c r="U21" s="18"/>
      <c r="V21" s="18"/>
    </row>
    <row r="22" spans="2:22" s="5" customFormat="1" ht="20.100000000000001" customHeight="1" x14ac:dyDescent="0.25">
      <c r="B22" s="25" t="s">
        <v>20</v>
      </c>
      <c r="C22" s="26">
        <v>112817.8508181795</v>
      </c>
      <c r="D22" s="27">
        <v>71406.76497070957</v>
      </c>
      <c r="E22" s="26">
        <v>0</v>
      </c>
      <c r="F22" s="27">
        <v>0</v>
      </c>
      <c r="G22" s="26">
        <v>2263.3092155828999</v>
      </c>
      <c r="H22" s="27">
        <v>845.88359538020597</v>
      </c>
      <c r="I22" s="26">
        <v>14790.613175162813</v>
      </c>
      <c r="J22" s="27">
        <v>7.190137305728256</v>
      </c>
      <c r="K22" s="26">
        <v>0</v>
      </c>
      <c r="L22" s="27">
        <v>22580.802904120002</v>
      </c>
      <c r="M22" s="26">
        <v>0</v>
      </c>
      <c r="N22" s="27">
        <v>0</v>
      </c>
      <c r="O22" s="26">
        <v>82185.568934350653</v>
      </c>
      <c r="P22" s="27">
        <v>35687.344862805177</v>
      </c>
      <c r="Q22" s="26">
        <v>13578.35949308313</v>
      </c>
      <c r="R22" s="27">
        <v>12285.543471098463</v>
      </c>
      <c r="S22" s="26">
        <v>0</v>
      </c>
      <c r="T22" s="27">
        <v>0</v>
      </c>
      <c r="U22" s="18"/>
      <c r="V22" s="18"/>
    </row>
    <row r="23" spans="2:22" s="5" customFormat="1" ht="20.100000000000001" customHeight="1" x14ac:dyDescent="0.25">
      <c r="B23" s="25" t="s">
        <v>21</v>
      </c>
      <c r="C23" s="26">
        <f t="shared" ref="C23:D24" si="5">+E23+G23+I23+K23+M23+O23+Q23</f>
        <v>23456.81123034683</v>
      </c>
      <c r="D23" s="27">
        <f t="shared" si="5"/>
        <v>1260.4041521546367</v>
      </c>
      <c r="E23" s="26">
        <v>0</v>
      </c>
      <c r="F23" s="27">
        <v>0</v>
      </c>
      <c r="G23" s="26">
        <v>900.79191724999998</v>
      </c>
      <c r="H23" s="27">
        <v>611.31331495272536</v>
      </c>
      <c r="I23" s="26">
        <v>22035.901249096831</v>
      </c>
      <c r="J23" s="27">
        <v>11.046878141911293</v>
      </c>
      <c r="K23" s="26">
        <v>0</v>
      </c>
      <c r="L23" s="27">
        <v>0</v>
      </c>
      <c r="M23" s="26">
        <v>0</v>
      </c>
      <c r="N23" s="27">
        <v>0</v>
      </c>
      <c r="O23" s="26">
        <v>1.9808137800000001</v>
      </c>
      <c r="P23" s="27">
        <v>2.0636478</v>
      </c>
      <c r="Q23" s="26">
        <v>518.13725021999994</v>
      </c>
      <c r="R23" s="27">
        <v>635.98031126000001</v>
      </c>
      <c r="S23" s="26">
        <v>0</v>
      </c>
      <c r="T23" s="27">
        <v>0</v>
      </c>
      <c r="U23" s="18"/>
      <c r="V23" s="18"/>
    </row>
    <row r="24" spans="2:22" s="5" customFormat="1" ht="20.100000000000001" customHeight="1" x14ac:dyDescent="0.25">
      <c r="B24" s="25" t="s">
        <v>22</v>
      </c>
      <c r="C24" s="26">
        <f>+E24+G24+I24+K24+M24+O24+Q24</f>
        <v>96362.684291690995</v>
      </c>
      <c r="D24" s="27">
        <f t="shared" si="5"/>
        <v>31717.626586967643</v>
      </c>
      <c r="E24" s="26">
        <v>30292.486815728891</v>
      </c>
      <c r="F24" s="27">
        <v>8549.7816803506175</v>
      </c>
      <c r="G24" s="26">
        <v>0</v>
      </c>
      <c r="H24" s="27">
        <v>0</v>
      </c>
      <c r="I24" s="26">
        <v>10382.395431540779</v>
      </c>
      <c r="J24" s="27">
        <v>5.2048271526026495</v>
      </c>
      <c r="K24" s="26">
        <v>5846.798859999999</v>
      </c>
      <c r="L24" s="27">
        <v>2256.5367700000002</v>
      </c>
      <c r="M24" s="26">
        <v>1580.05899</v>
      </c>
      <c r="N24" s="27">
        <v>0</v>
      </c>
      <c r="O24" s="26">
        <v>43392.009363410005</v>
      </c>
      <c r="P24" s="27">
        <v>13828.901315344425</v>
      </c>
      <c r="Q24" s="26">
        <v>4868.934831011311</v>
      </c>
      <c r="R24" s="27">
        <v>7077.2019941199997</v>
      </c>
      <c r="S24" s="26">
        <v>0</v>
      </c>
      <c r="T24" s="27">
        <v>0</v>
      </c>
      <c r="U24" s="18"/>
      <c r="V24" s="18"/>
    </row>
    <row r="25" spans="2:22" s="5" customFormat="1" ht="20.100000000000001" customHeight="1" x14ac:dyDescent="0.25">
      <c r="B25" s="25" t="s">
        <v>23</v>
      </c>
      <c r="C25" s="26">
        <f t="shared" ref="C25:D27" si="6">+E25+G25+I25+K25+M25+O25+Q25</f>
        <v>82.349825519999996</v>
      </c>
      <c r="D25" s="27">
        <f t="shared" si="6"/>
        <v>3.0199753399999998</v>
      </c>
      <c r="E25" s="26">
        <v>0</v>
      </c>
      <c r="F25" s="27">
        <v>0</v>
      </c>
      <c r="G25" s="26">
        <v>0</v>
      </c>
      <c r="H25" s="27">
        <v>0</v>
      </c>
      <c r="I25" s="26">
        <v>0</v>
      </c>
      <c r="J25" s="27">
        <v>0</v>
      </c>
      <c r="K25" s="26">
        <v>0</v>
      </c>
      <c r="L25" s="27">
        <v>0</v>
      </c>
      <c r="M25" s="26">
        <v>0</v>
      </c>
      <c r="N25" s="27">
        <v>0</v>
      </c>
      <c r="O25" s="26">
        <v>0</v>
      </c>
      <c r="P25" s="27">
        <v>0</v>
      </c>
      <c r="Q25" s="26">
        <v>82.349825519999996</v>
      </c>
      <c r="R25" s="27">
        <v>3.0199753399999998</v>
      </c>
      <c r="S25" s="26">
        <v>0</v>
      </c>
      <c r="T25" s="27">
        <v>0</v>
      </c>
      <c r="U25" s="18"/>
      <c r="V25" s="18"/>
    </row>
    <row r="26" spans="2:22" s="5" customFormat="1" ht="20.100000000000001" customHeight="1" x14ac:dyDescent="0.25">
      <c r="B26" s="25" t="s">
        <v>24</v>
      </c>
      <c r="C26" s="26">
        <f>+E26+G26+I26+K26+M26+O26+Q26</f>
        <v>3151.7715888442144</v>
      </c>
      <c r="D26" s="27">
        <f t="shared" si="6"/>
        <v>15701.121335945256</v>
      </c>
      <c r="E26" s="26">
        <v>0</v>
      </c>
      <c r="F26" s="27">
        <v>177.30497045468493</v>
      </c>
      <c r="G26" s="26">
        <v>1354.3915886618688</v>
      </c>
      <c r="H26" s="27">
        <v>769.59012679173452</v>
      </c>
      <c r="I26" s="26">
        <v>125.71983018234563</v>
      </c>
      <c r="J26" s="27">
        <v>9.9886988364053138E-3</v>
      </c>
      <c r="K26" s="26">
        <v>30.359999999999996</v>
      </c>
      <c r="L26" s="27">
        <v>27.799999999999994</v>
      </c>
      <c r="M26" s="26">
        <v>17.22</v>
      </c>
      <c r="N26" s="27">
        <v>22.339999999999996</v>
      </c>
      <c r="O26" s="26">
        <v>1.7999999999999998</v>
      </c>
      <c r="P26" s="27">
        <v>13146.9</v>
      </c>
      <c r="Q26" s="26">
        <v>1622.28017</v>
      </c>
      <c r="R26" s="27">
        <v>1557.17625</v>
      </c>
      <c r="S26" s="26">
        <v>15.24</v>
      </c>
      <c r="T26" s="27">
        <v>363.03999999999996</v>
      </c>
      <c r="U26" s="18"/>
      <c r="V26" s="18"/>
    </row>
    <row r="27" spans="2:22" s="5" customFormat="1" ht="20.100000000000001" customHeight="1" x14ac:dyDescent="0.25">
      <c r="B27" s="25" t="s">
        <v>25</v>
      </c>
      <c r="C27" s="26">
        <f t="shared" si="6"/>
        <v>137419.23067352138</v>
      </c>
      <c r="D27" s="27">
        <f t="shared" si="6"/>
        <v>53683.921622868242</v>
      </c>
      <c r="E27" s="26">
        <v>0</v>
      </c>
      <c r="F27" s="27">
        <v>0</v>
      </c>
      <c r="G27" s="26">
        <v>1552.482370142797</v>
      </c>
      <c r="H27" s="27">
        <v>124.45225384030523</v>
      </c>
      <c r="I27" s="26">
        <v>1062.6770843661952</v>
      </c>
      <c r="J27" s="27">
        <v>8.443187793594556E-2</v>
      </c>
      <c r="K27" s="26">
        <v>4306.9815159599993</v>
      </c>
      <c r="L27" s="27">
        <v>9340.162029860001</v>
      </c>
      <c r="M27" s="26">
        <v>0</v>
      </c>
      <c r="N27" s="27">
        <v>0</v>
      </c>
      <c r="O27" s="26">
        <v>115488.96491437239</v>
      </c>
      <c r="P27" s="27">
        <v>34697.093364519998</v>
      </c>
      <c r="Q27" s="26">
        <v>15008.124788679999</v>
      </c>
      <c r="R27" s="27">
        <v>9522.1295427700006</v>
      </c>
      <c r="S27" s="26">
        <v>0</v>
      </c>
      <c r="T27" s="27">
        <v>0</v>
      </c>
      <c r="U27" s="18"/>
      <c r="V27" s="18"/>
    </row>
    <row r="28" spans="2:22" s="5" customFormat="1" ht="20.100000000000001" customHeight="1" x14ac:dyDescent="0.25">
      <c r="B28" s="25" t="s">
        <v>26</v>
      </c>
      <c r="C28" s="26">
        <v>17336.456782611316</v>
      </c>
      <c r="D28" s="27">
        <v>4445.9867993344888</v>
      </c>
      <c r="E28" s="26">
        <v>0</v>
      </c>
      <c r="F28" s="27">
        <v>0</v>
      </c>
      <c r="G28" s="26">
        <v>1132.6900598313425</v>
      </c>
      <c r="H28" s="27">
        <v>896.30524670621912</v>
      </c>
      <c r="I28" s="26">
        <v>12384.053435764521</v>
      </c>
      <c r="J28" s="27">
        <v>6.2082838210857583</v>
      </c>
      <c r="K28" s="26">
        <v>201.48810893666666</v>
      </c>
      <c r="L28" s="27">
        <v>151.62748745474823</v>
      </c>
      <c r="M28" s="26">
        <v>0</v>
      </c>
      <c r="N28" s="27">
        <v>0</v>
      </c>
      <c r="O28" s="26">
        <v>2918.7947023752658</v>
      </c>
      <c r="P28" s="27">
        <v>3261.4928538822601</v>
      </c>
      <c r="Q28" s="26">
        <v>699.43047570352076</v>
      </c>
      <c r="R28" s="27">
        <v>130.35292747017627</v>
      </c>
      <c r="S28" s="26">
        <v>0</v>
      </c>
      <c r="T28" s="27">
        <v>0</v>
      </c>
      <c r="U28" s="18"/>
      <c r="V28" s="18"/>
    </row>
    <row r="29" spans="2:22" s="5" customFormat="1" ht="20.100000000000001" customHeight="1" x14ac:dyDescent="0.25">
      <c r="B29" s="25" t="s">
        <v>27</v>
      </c>
      <c r="C29" s="26">
        <v>216970.21694271234</v>
      </c>
      <c r="D29" s="27">
        <v>89345.778976394518</v>
      </c>
      <c r="E29" s="26">
        <v>127.05104493587423</v>
      </c>
      <c r="F29" s="27">
        <v>49.873705426489352</v>
      </c>
      <c r="G29" s="26">
        <v>1339.9405012715488</v>
      </c>
      <c r="H29" s="27">
        <v>2324.3518479016197</v>
      </c>
      <c r="I29" s="26">
        <v>0</v>
      </c>
      <c r="J29" s="27">
        <v>0</v>
      </c>
      <c r="K29" s="26">
        <v>30846.055729790438</v>
      </c>
      <c r="L29" s="27">
        <v>14123.244995448402</v>
      </c>
      <c r="M29" s="26">
        <v>0</v>
      </c>
      <c r="N29" s="27">
        <v>0</v>
      </c>
      <c r="O29" s="26">
        <v>178813.04711279029</v>
      </c>
      <c r="P29" s="27">
        <v>62793.048630410703</v>
      </c>
      <c r="Q29" s="26">
        <v>5844.1225539241914</v>
      </c>
      <c r="R29" s="27">
        <v>10055.259797207304</v>
      </c>
      <c r="S29" s="26">
        <v>0</v>
      </c>
      <c r="T29" s="27">
        <v>0</v>
      </c>
      <c r="U29" s="18"/>
      <c r="V29" s="18"/>
    </row>
    <row r="30" spans="2:22" s="5" customFormat="1" ht="20.100000000000001" customHeight="1" x14ac:dyDescent="0.25">
      <c r="B30" s="25" t="s">
        <v>28</v>
      </c>
      <c r="C30" s="26">
        <v>90172.658696088984</v>
      </c>
      <c r="D30" s="27">
        <v>40884.134878172459</v>
      </c>
      <c r="E30" s="26">
        <v>0</v>
      </c>
      <c r="F30" s="27">
        <v>694.69800966781509</v>
      </c>
      <c r="G30" s="26">
        <v>141.94907024</v>
      </c>
      <c r="H30" s="27">
        <v>22.194659239999961</v>
      </c>
      <c r="I30" s="26">
        <v>1303.6941983853126</v>
      </c>
      <c r="J30" s="27">
        <v>0.10358118288540877</v>
      </c>
      <c r="K30" s="26">
        <v>0</v>
      </c>
      <c r="L30" s="27">
        <v>3711.4616457500006</v>
      </c>
      <c r="M30" s="26">
        <v>0</v>
      </c>
      <c r="N30" s="27">
        <v>0</v>
      </c>
      <c r="O30" s="26">
        <v>84140.928926973676</v>
      </c>
      <c r="P30" s="27">
        <v>33352.767814511761</v>
      </c>
      <c r="Q30" s="26">
        <v>4586.0865004900006</v>
      </c>
      <c r="R30" s="27">
        <v>3102.9091678200007</v>
      </c>
      <c r="S30" s="26">
        <v>0</v>
      </c>
      <c r="T30" s="27">
        <v>0</v>
      </c>
      <c r="U30" s="18"/>
      <c r="V30" s="18"/>
    </row>
    <row r="31" spans="2:22" s="5" customFormat="1" ht="20.100000000000001" customHeight="1" x14ac:dyDescent="0.25">
      <c r="B31" s="25" t="s">
        <v>29</v>
      </c>
      <c r="C31" s="26">
        <v>155221.98483323431</v>
      </c>
      <c r="D31" s="27">
        <v>50740.562154846863</v>
      </c>
      <c r="E31" s="26">
        <v>0</v>
      </c>
      <c r="F31" s="27">
        <v>0</v>
      </c>
      <c r="G31" s="26">
        <v>1930.8506074009497</v>
      </c>
      <c r="H31" s="27">
        <v>511.79110240645548</v>
      </c>
      <c r="I31" s="26">
        <v>95783.054060531314</v>
      </c>
      <c r="J31" s="27">
        <v>26.012802835629998</v>
      </c>
      <c r="K31" s="26">
        <v>0</v>
      </c>
      <c r="L31" s="27">
        <v>12643.85544881932</v>
      </c>
      <c r="M31" s="26">
        <v>2300.7811517550076</v>
      </c>
      <c r="N31" s="27">
        <v>7735.8801569989164</v>
      </c>
      <c r="O31" s="26">
        <v>51111.588961154994</v>
      </c>
      <c r="P31" s="27">
        <v>26944.6276044113</v>
      </c>
      <c r="Q31" s="26">
        <v>4095.710052392024</v>
      </c>
      <c r="R31" s="27">
        <v>2878.3950393752448</v>
      </c>
      <c r="S31" s="26">
        <v>0</v>
      </c>
      <c r="T31" s="27">
        <v>0</v>
      </c>
      <c r="U31" s="18"/>
      <c r="V31" s="18"/>
    </row>
    <row r="32" spans="2:22" s="5" customFormat="1" ht="20.100000000000001" customHeight="1" x14ac:dyDescent="0.25">
      <c r="B32" s="25" t="s">
        <v>30</v>
      </c>
      <c r="C32" s="26">
        <v>14228.033632277873</v>
      </c>
      <c r="D32" s="27">
        <v>13521.414180617056</v>
      </c>
      <c r="E32" s="26">
        <v>89.152901658424213</v>
      </c>
      <c r="F32" s="27">
        <v>33.392265153986429</v>
      </c>
      <c r="G32" s="26">
        <v>95.476585803041715</v>
      </c>
      <c r="H32" s="27">
        <v>1161.9670181233837</v>
      </c>
      <c r="I32" s="26">
        <v>417.61022758873719</v>
      </c>
      <c r="J32" s="27">
        <v>3.3179990685132797E-2</v>
      </c>
      <c r="K32" s="26">
        <v>0</v>
      </c>
      <c r="L32" s="27">
        <v>0</v>
      </c>
      <c r="M32" s="26">
        <v>0</v>
      </c>
      <c r="N32" s="27">
        <v>0</v>
      </c>
      <c r="O32" s="26">
        <v>10.813859003903941</v>
      </c>
      <c r="P32" s="27">
        <v>1591.8352918795522</v>
      </c>
      <c r="Q32" s="26">
        <v>13614.980058223766</v>
      </c>
      <c r="R32" s="27">
        <v>10734.186425469448</v>
      </c>
      <c r="S32" s="26">
        <v>0</v>
      </c>
      <c r="T32" s="27">
        <v>0</v>
      </c>
      <c r="U32" s="18"/>
      <c r="V32" s="18"/>
    </row>
    <row r="33" spans="2:22" s="5" customFormat="1" ht="20.100000000000001" customHeight="1" x14ac:dyDescent="0.25">
      <c r="B33" s="25" t="s">
        <v>31</v>
      </c>
      <c r="C33" s="26">
        <v>0</v>
      </c>
      <c r="D33" s="27">
        <v>0</v>
      </c>
      <c r="E33" s="26">
        <v>0</v>
      </c>
      <c r="F33" s="27">
        <v>0</v>
      </c>
      <c r="G33" s="26">
        <v>0</v>
      </c>
      <c r="H33" s="27">
        <v>0</v>
      </c>
      <c r="I33" s="26">
        <v>0</v>
      </c>
      <c r="J33" s="27">
        <v>0</v>
      </c>
      <c r="K33" s="26">
        <v>0</v>
      </c>
      <c r="L33" s="27">
        <v>0</v>
      </c>
      <c r="M33" s="26">
        <v>0</v>
      </c>
      <c r="N33" s="27">
        <v>0</v>
      </c>
      <c r="O33" s="26">
        <v>0</v>
      </c>
      <c r="P33" s="27">
        <v>0</v>
      </c>
      <c r="Q33" s="26">
        <v>0</v>
      </c>
      <c r="R33" s="27">
        <v>0</v>
      </c>
      <c r="S33" s="26">
        <v>0</v>
      </c>
      <c r="T33" s="27">
        <v>0</v>
      </c>
      <c r="U33" s="18"/>
      <c r="V33" s="18"/>
    </row>
    <row r="34" spans="2:22" s="5" customFormat="1" ht="20.100000000000001" customHeight="1" x14ac:dyDescent="0.25">
      <c r="B34" s="25" t="s">
        <v>32</v>
      </c>
      <c r="C34" s="26">
        <v>37258.952414098589</v>
      </c>
      <c r="D34" s="27">
        <v>1398.6924034766346</v>
      </c>
      <c r="E34" s="26">
        <v>772.59554140119155</v>
      </c>
      <c r="F34" s="27">
        <v>230.31188265320625</v>
      </c>
      <c r="G34" s="26">
        <v>14.832089700000012</v>
      </c>
      <c r="H34" s="27">
        <v>13.909054969999994</v>
      </c>
      <c r="I34" s="26">
        <v>36471.524782997396</v>
      </c>
      <c r="J34" s="27">
        <v>10.734737793428456</v>
      </c>
      <c r="K34" s="26">
        <v>0</v>
      </c>
      <c r="L34" s="27">
        <v>0</v>
      </c>
      <c r="M34" s="26">
        <v>0</v>
      </c>
      <c r="N34" s="27">
        <v>0</v>
      </c>
      <c r="O34" s="26">
        <v>0</v>
      </c>
      <c r="P34" s="27">
        <v>1143.7367280599999</v>
      </c>
      <c r="Q34" s="26">
        <v>0</v>
      </c>
      <c r="R34" s="27">
        <v>0</v>
      </c>
      <c r="S34" s="26">
        <v>0</v>
      </c>
      <c r="T34" s="27">
        <v>0</v>
      </c>
      <c r="U34" s="18"/>
      <c r="V34" s="18"/>
    </row>
    <row r="35" spans="2:22" s="5" customFormat="1" ht="20.100000000000001" customHeight="1" x14ac:dyDescent="0.25">
      <c r="B35" s="25" t="s">
        <v>33</v>
      </c>
      <c r="C35" s="26">
        <v>27483.704761936664</v>
      </c>
      <c r="D35" s="27">
        <v>53408.800000000003</v>
      </c>
      <c r="E35" s="26">
        <v>0</v>
      </c>
      <c r="F35" s="27">
        <v>0</v>
      </c>
      <c r="G35" s="26">
        <v>0</v>
      </c>
      <c r="H35" s="27">
        <v>11.1</v>
      </c>
      <c r="I35" s="26">
        <v>0</v>
      </c>
      <c r="J35" s="27">
        <v>0</v>
      </c>
      <c r="K35" s="26">
        <v>11619.004761936665</v>
      </c>
      <c r="L35" s="27">
        <v>26451</v>
      </c>
      <c r="M35" s="26">
        <v>0</v>
      </c>
      <c r="N35" s="27">
        <v>0</v>
      </c>
      <c r="O35" s="26">
        <v>0</v>
      </c>
      <c r="P35" s="27">
        <v>16105.5</v>
      </c>
      <c r="Q35" s="26">
        <v>15864.7</v>
      </c>
      <c r="R35" s="27">
        <v>10841.2</v>
      </c>
      <c r="S35" s="26">
        <v>0</v>
      </c>
      <c r="T35" s="27">
        <v>0</v>
      </c>
      <c r="U35" s="18"/>
      <c r="V35" s="18"/>
    </row>
    <row r="36" spans="2:22" s="5" customFormat="1" ht="20.100000000000001" customHeight="1" x14ac:dyDescent="0.25">
      <c r="B36" s="25" t="s">
        <v>34</v>
      </c>
      <c r="C36" s="26">
        <f t="shared" ref="C36:D36" si="7">+E36+G36+I36+K36+M36+O36+Q36</f>
        <v>0</v>
      </c>
      <c r="D36" s="27">
        <f t="shared" si="7"/>
        <v>3014.95</v>
      </c>
      <c r="E36" s="26">
        <v>0</v>
      </c>
      <c r="F36" s="27">
        <v>0</v>
      </c>
      <c r="G36" s="26">
        <v>0</v>
      </c>
      <c r="H36" s="27">
        <v>0</v>
      </c>
      <c r="I36" s="26">
        <v>0</v>
      </c>
      <c r="J36" s="27">
        <v>0</v>
      </c>
      <c r="K36" s="26">
        <v>0</v>
      </c>
      <c r="L36" s="27">
        <v>0</v>
      </c>
      <c r="M36" s="26">
        <v>0</v>
      </c>
      <c r="N36" s="27">
        <v>0</v>
      </c>
      <c r="O36" s="26">
        <v>0</v>
      </c>
      <c r="P36" s="27">
        <v>3014.95</v>
      </c>
      <c r="Q36" s="26">
        <v>0</v>
      </c>
      <c r="R36" s="27">
        <v>0</v>
      </c>
      <c r="S36" s="26">
        <v>0</v>
      </c>
      <c r="T36" s="27"/>
      <c r="U36" s="18"/>
      <c r="V36" s="18"/>
    </row>
    <row r="37" spans="2:22" s="5" customFormat="1" ht="20.100000000000001" customHeight="1" x14ac:dyDescent="0.25">
      <c r="B37" s="25" t="s">
        <v>35</v>
      </c>
      <c r="C37" s="26">
        <v>29418.282141290852</v>
      </c>
      <c r="D37" s="27">
        <v>12010.981277536232</v>
      </c>
      <c r="E37" s="26">
        <v>111.08463892479961</v>
      </c>
      <c r="F37" s="27">
        <v>43.606115651702616</v>
      </c>
      <c r="G37" s="26">
        <v>2814.8664211700002</v>
      </c>
      <c r="H37" s="27">
        <v>462.02100518999998</v>
      </c>
      <c r="I37" s="26">
        <v>12947.318490406049</v>
      </c>
      <c r="J37" s="27">
        <v>6.0527232504415691</v>
      </c>
      <c r="K37" s="26">
        <v>0</v>
      </c>
      <c r="L37" s="27">
        <v>344.09312329561641</v>
      </c>
      <c r="M37" s="26">
        <v>2341.3400408299999</v>
      </c>
      <c r="N37" s="27">
        <v>65.395871999999997</v>
      </c>
      <c r="O37" s="26">
        <v>11142.649141160002</v>
      </c>
      <c r="P37" s="27">
        <v>11087.38341474847</v>
      </c>
      <c r="Q37" s="26">
        <v>61.023408800000006</v>
      </c>
      <c r="R37" s="27">
        <v>2.4290234000000002</v>
      </c>
      <c r="S37" s="26">
        <v>0</v>
      </c>
      <c r="T37" s="27">
        <v>0</v>
      </c>
      <c r="U37" s="18"/>
      <c r="V37" s="18"/>
    </row>
    <row r="38" spans="2:22" s="5" customFormat="1" ht="20.100000000000001" customHeight="1" x14ac:dyDescent="0.25">
      <c r="B38" s="25" t="s">
        <v>36</v>
      </c>
      <c r="C38" s="26">
        <v>90816.649518314545</v>
      </c>
      <c r="D38" s="27">
        <v>30805.760141865027</v>
      </c>
      <c r="E38" s="26">
        <v>537.62849577864279</v>
      </c>
      <c r="F38" s="27">
        <v>7171.5254013689791</v>
      </c>
      <c r="G38" s="26">
        <v>609.14211670776467</v>
      </c>
      <c r="H38" s="27">
        <v>609.92824701999973</v>
      </c>
      <c r="I38" s="26">
        <v>88685.184625424241</v>
      </c>
      <c r="J38" s="27">
        <v>14.497817193827785</v>
      </c>
      <c r="K38" s="26">
        <v>0</v>
      </c>
      <c r="L38" s="27">
        <v>19490.073679280002</v>
      </c>
      <c r="M38" s="26">
        <v>13.564267659999999</v>
      </c>
      <c r="N38" s="27">
        <v>2.6152251289749211</v>
      </c>
      <c r="O38" s="26">
        <v>952.10374893999995</v>
      </c>
      <c r="P38" s="27">
        <v>3516.6187166599993</v>
      </c>
      <c r="Q38" s="26">
        <v>19.02626380390253</v>
      </c>
      <c r="R38" s="27">
        <v>0.50105521324374869</v>
      </c>
      <c r="S38" s="26">
        <v>0</v>
      </c>
      <c r="T38" s="27">
        <v>0</v>
      </c>
      <c r="U38" s="18"/>
      <c r="V38" s="18"/>
    </row>
    <row r="39" spans="2:22" x14ac:dyDescent="0.25">
      <c r="B39" s="8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1"/>
      <c r="R39" s="17"/>
      <c r="S39" s="17"/>
      <c r="T39" s="17"/>
      <c r="U39" s="17"/>
      <c r="V39" s="17"/>
    </row>
    <row r="40" spans="2:22" x14ac:dyDescent="0.25">
      <c r="B40" s="11" t="s">
        <v>5</v>
      </c>
      <c r="C40" s="12"/>
      <c r="D40" s="9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0"/>
    </row>
    <row r="41" spans="2:22" x14ac:dyDescent="0.25">
      <c r="B41" s="2" t="s">
        <v>6</v>
      </c>
      <c r="Q41" s="10"/>
    </row>
    <row r="42" spans="2:22" x14ac:dyDescent="0.25">
      <c r="B42" s="2" t="s">
        <v>7</v>
      </c>
      <c r="C42" s="13"/>
      <c r="D42" s="13"/>
      <c r="I42" s="14"/>
      <c r="J42" s="14"/>
      <c r="Q42" s="10"/>
    </row>
    <row r="43" spans="2:22" x14ac:dyDescent="0.25">
      <c r="B43" s="2" t="s">
        <v>8</v>
      </c>
    </row>
    <row r="44" spans="2:22" x14ac:dyDescent="0.25">
      <c r="B44" s="2" t="s">
        <v>9</v>
      </c>
      <c r="C44" s="13"/>
      <c r="D44" s="13"/>
    </row>
    <row r="45" spans="2:22" x14ac:dyDescent="0.25">
      <c r="B45" s="2" t="s">
        <v>10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2:22" x14ac:dyDescent="0.25">
      <c r="B46" s="2" t="s">
        <v>45</v>
      </c>
      <c r="C46" s="15"/>
      <c r="D46" s="15"/>
      <c r="E46" s="16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</row>
  </sheetData>
  <mergeCells count="12">
    <mergeCell ref="E12:F12"/>
    <mergeCell ref="O12:P12"/>
    <mergeCell ref="Q12:R12"/>
    <mergeCell ref="S12:T12"/>
    <mergeCell ref="B9:T9"/>
    <mergeCell ref="B10:T10"/>
    <mergeCell ref="B12:B13"/>
    <mergeCell ref="C12:D12"/>
    <mergeCell ref="G12:H12"/>
    <mergeCell ref="I12:J12"/>
    <mergeCell ref="K12:L12"/>
    <mergeCell ref="M12:N12"/>
  </mergeCells>
  <printOptions horizontalCentered="1" verticalCentered="1"/>
  <pageMargins left="0.31496062992125984" right="0.31496062992125984" top="0.35433070866141736" bottom="0.15748031496062992" header="0.31496062992125984" footer="0.31496062992125984"/>
  <pageSetup paperSize="9" scale="4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IV Trim 2024 millones</vt:lpstr>
      <vt:lpstr>'IV Trim 2024 millones'!Área_de_impresión</vt:lpstr>
      <vt:lpstr>'IV Trim 2024 millones'!Títulos_a_imprimir</vt:lpstr>
    </vt:vector>
  </TitlesOfParts>
  <Company>MECON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digonz</dc:creator>
  <cp:lastModifiedBy>Luciano Albera Scagliusi</cp:lastModifiedBy>
  <cp:lastPrinted>2025-10-31T16:47:49Z</cp:lastPrinted>
  <dcterms:created xsi:type="dcterms:W3CDTF">2021-05-21T20:31:04Z</dcterms:created>
  <dcterms:modified xsi:type="dcterms:W3CDTF">2026-06-16T18:46:34Z</dcterms:modified>
</cp:coreProperties>
</file>